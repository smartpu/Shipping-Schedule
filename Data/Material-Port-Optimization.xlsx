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"/>
    </mc:Choice>
  </mc:AlternateContent>
  <xr:revisionPtr revIDLastSave="0" documentId="13_ncr:1_{32179617-F34C-4750-828F-3CAA3D52AC38}" xr6:coauthVersionLast="47" xr6:coauthVersionMax="47" xr10:uidLastSave="{00000000-0000-0000-0000-000000000000}"/>
  <bookViews>
    <workbookView xWindow="38280" yWindow="-120" windowWidth="38640" windowHeight="21120" activeTab="2" xr2:uid="{F60C77AD-648B-413C-AFC6-5BF4539D5235}"/>
  </bookViews>
  <sheets>
    <sheet name="POL" sheetId="4" r:id="rId1"/>
    <sheet name="POD" sheetId="5" r:id="rId2"/>
    <sheet name="Port Optimization 001" sheetId="3" r:id="rId3"/>
    <sheet name="Port Optimization 365" sheetId="2" r:id="rId4"/>
  </sheets>
  <definedNames>
    <definedName name="ExternalData_1" localSheetId="3" hidden="1">'Port Optimization 365'!$A$1:$B$320</definedName>
    <definedName name="ExternalData_2" localSheetId="2" hidden="1">'Port Optimization 001'!$A$1:$B$320</definedName>
    <definedName name="ExternalData_3" localSheetId="0" hidden="1">POL!$A$1:$J$25</definedName>
    <definedName name="ExternalData_4" localSheetId="1" hidden="1">POD!$A$1:$I$285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D_7fb7776d-43d8-48b9-ab95-633a4a1a8430" name="POD" connection="查询 - POD"/>
          <x15:modelTable id="POL_9ce192bb-dbbc-4ed0-8f5b-99f2b28615f6" name="POL" connection="查询 - PO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F43" i="3" s="1"/>
  <c r="C44" i="3"/>
  <c r="F44" i="3" s="1"/>
  <c r="C45" i="3"/>
  <c r="F45" i="3" s="1"/>
  <c r="C46" i="3"/>
  <c r="F46" i="3" s="1"/>
  <c r="C47" i="3"/>
  <c r="F47" i="3" s="1"/>
  <c r="C48" i="3"/>
  <c r="F48" i="3" s="1"/>
  <c r="C49" i="3"/>
  <c r="F49" i="3" s="1"/>
  <c r="C50" i="3"/>
  <c r="F50" i="3" s="1"/>
  <c r="C51" i="3"/>
  <c r="F51" i="3" s="1"/>
  <c r="C52" i="3"/>
  <c r="F52" i="3" s="1"/>
  <c r="C53" i="3"/>
  <c r="F53" i="3" s="1"/>
  <c r="C54" i="3"/>
  <c r="F54" i="3" s="1"/>
  <c r="C55" i="3"/>
  <c r="F55" i="3" s="1"/>
  <c r="C56" i="3"/>
  <c r="F56" i="3" s="1"/>
  <c r="C57" i="3"/>
  <c r="F57" i="3" s="1"/>
  <c r="C58" i="3"/>
  <c r="F58" i="3" s="1"/>
  <c r="C59" i="3"/>
  <c r="F59" i="3" s="1"/>
  <c r="C60" i="3"/>
  <c r="F60" i="3" s="1"/>
  <c r="C61" i="3"/>
  <c r="F61" i="3" s="1"/>
  <c r="C62" i="3"/>
  <c r="F62" i="3" s="1"/>
  <c r="C63" i="3"/>
  <c r="F63" i="3" s="1"/>
  <c r="C64" i="3"/>
  <c r="F64" i="3" s="1"/>
  <c r="C65" i="3"/>
  <c r="F65" i="3" s="1"/>
  <c r="C66" i="3"/>
  <c r="F66" i="3" s="1"/>
  <c r="C67" i="3"/>
  <c r="F67" i="3" s="1"/>
  <c r="C68" i="3"/>
  <c r="F68" i="3" s="1"/>
  <c r="C69" i="3"/>
  <c r="F69" i="3" s="1"/>
  <c r="C70" i="3"/>
  <c r="F70" i="3" s="1"/>
  <c r="C71" i="3"/>
  <c r="F71" i="3" s="1"/>
  <c r="C72" i="3"/>
  <c r="F72" i="3" s="1"/>
  <c r="C73" i="3"/>
  <c r="F73" i="3" s="1"/>
  <c r="C74" i="3"/>
  <c r="F74" i="3" s="1"/>
  <c r="C75" i="3"/>
  <c r="F75" i="3" s="1"/>
  <c r="C76" i="3"/>
  <c r="F76" i="3" s="1"/>
  <c r="C77" i="3"/>
  <c r="F77" i="3" s="1"/>
  <c r="C78" i="3"/>
  <c r="F78" i="3" s="1"/>
  <c r="C79" i="3"/>
  <c r="F79" i="3" s="1"/>
  <c r="C80" i="3"/>
  <c r="F80" i="3" s="1"/>
  <c r="C81" i="3"/>
  <c r="F81" i="3" s="1"/>
  <c r="C82" i="3"/>
  <c r="F82" i="3" s="1"/>
  <c r="C83" i="3"/>
  <c r="F83" i="3" s="1"/>
  <c r="C84" i="3"/>
  <c r="F84" i="3" s="1"/>
  <c r="C85" i="3"/>
  <c r="F85" i="3" s="1"/>
  <c r="C86" i="3"/>
  <c r="F86" i="3" s="1"/>
  <c r="C87" i="3"/>
  <c r="F87" i="3" s="1"/>
  <c r="C88" i="3"/>
  <c r="F88" i="3" s="1"/>
  <c r="C89" i="3"/>
  <c r="F89" i="3" s="1"/>
  <c r="C90" i="3"/>
  <c r="F90" i="3" s="1"/>
  <c r="C91" i="3"/>
  <c r="F91" i="3" s="1"/>
  <c r="C92" i="3"/>
  <c r="F92" i="3" s="1"/>
  <c r="C93" i="3"/>
  <c r="F93" i="3" s="1"/>
  <c r="C94" i="3"/>
  <c r="F94" i="3" s="1"/>
  <c r="E94" i="3" s="1"/>
  <c r="C95" i="3"/>
  <c r="F95" i="3" s="1"/>
  <c r="E95" i="3" s="1"/>
  <c r="C96" i="3"/>
  <c r="F96" i="3" s="1"/>
  <c r="E96" i="3" s="1"/>
  <c r="C97" i="3"/>
  <c r="F97" i="3" s="1"/>
  <c r="E97" i="3" s="1"/>
  <c r="C98" i="3"/>
  <c r="F98" i="3" s="1"/>
  <c r="E98" i="3" s="1"/>
  <c r="C99" i="3"/>
  <c r="F99" i="3" s="1"/>
  <c r="E99" i="3" s="1"/>
  <c r="C100" i="3"/>
  <c r="F100" i="3" s="1"/>
  <c r="E100" i="3" s="1"/>
  <c r="C101" i="3"/>
  <c r="F101" i="3" s="1"/>
  <c r="E101" i="3" s="1"/>
  <c r="C102" i="3"/>
  <c r="F102" i="3" s="1"/>
  <c r="E102" i="3" s="1"/>
  <c r="C103" i="3"/>
  <c r="F103" i="3" s="1"/>
  <c r="E103" i="3" s="1"/>
  <c r="C104" i="3"/>
  <c r="F104" i="3" s="1"/>
  <c r="E104" i="3" s="1"/>
  <c r="C105" i="3"/>
  <c r="F105" i="3" s="1"/>
  <c r="E105" i="3" s="1"/>
  <c r="C106" i="3"/>
  <c r="F106" i="3" s="1"/>
  <c r="E106" i="3" s="1"/>
  <c r="C107" i="3"/>
  <c r="F107" i="3" s="1"/>
  <c r="E107" i="3" s="1"/>
  <c r="C108" i="3"/>
  <c r="F108" i="3" s="1"/>
  <c r="E108" i="3" s="1"/>
  <c r="C109" i="3"/>
  <c r="F109" i="3" s="1"/>
  <c r="E109" i="3" s="1"/>
  <c r="C110" i="3"/>
  <c r="F110" i="3" s="1"/>
  <c r="E110" i="3" s="1"/>
  <c r="C111" i="3"/>
  <c r="F111" i="3" s="1"/>
  <c r="E111" i="3" s="1"/>
  <c r="C112" i="3"/>
  <c r="F112" i="3" s="1"/>
  <c r="E112" i="3" s="1"/>
  <c r="C113" i="3"/>
  <c r="F113" i="3" s="1"/>
  <c r="E113" i="3" s="1"/>
  <c r="C114" i="3"/>
  <c r="F114" i="3" s="1"/>
  <c r="E114" i="3" s="1"/>
  <c r="C115" i="3"/>
  <c r="F115" i="3" s="1"/>
  <c r="E115" i="3" s="1"/>
  <c r="C116" i="3"/>
  <c r="F116" i="3" s="1"/>
  <c r="E116" i="3" s="1"/>
  <c r="C117" i="3"/>
  <c r="F117" i="3" s="1"/>
  <c r="E117" i="3" s="1"/>
  <c r="C118" i="3"/>
  <c r="F118" i="3" s="1"/>
  <c r="E118" i="3" s="1"/>
  <c r="C119" i="3"/>
  <c r="F119" i="3" s="1"/>
  <c r="E119" i="3" s="1"/>
  <c r="C120" i="3"/>
  <c r="F120" i="3" s="1"/>
  <c r="E120" i="3" s="1"/>
  <c r="C121" i="3"/>
  <c r="F121" i="3" s="1"/>
  <c r="E121" i="3" s="1"/>
  <c r="C122" i="3"/>
  <c r="F122" i="3" s="1"/>
  <c r="E122" i="3" s="1"/>
  <c r="C123" i="3"/>
  <c r="F123" i="3" s="1"/>
  <c r="E123" i="3" s="1"/>
  <c r="C124" i="3"/>
  <c r="F124" i="3" s="1"/>
  <c r="E124" i="3" s="1"/>
  <c r="C125" i="3"/>
  <c r="F125" i="3" s="1"/>
  <c r="E125" i="3" s="1"/>
  <c r="C126" i="3"/>
  <c r="F126" i="3" s="1"/>
  <c r="E126" i="3" s="1"/>
  <c r="C127" i="3"/>
  <c r="F127" i="3" s="1"/>
  <c r="E127" i="3" s="1"/>
  <c r="C128" i="3"/>
  <c r="F128" i="3" s="1"/>
  <c r="E128" i="3" s="1"/>
  <c r="C129" i="3"/>
  <c r="F129" i="3" s="1"/>
  <c r="E129" i="3" s="1"/>
  <c r="C130" i="3"/>
  <c r="F130" i="3" s="1"/>
  <c r="E130" i="3" s="1"/>
  <c r="C131" i="3"/>
  <c r="F131" i="3" s="1"/>
  <c r="C132" i="3"/>
  <c r="F132" i="3" s="1"/>
  <c r="C133" i="3"/>
  <c r="F133" i="3" s="1"/>
  <c r="C134" i="3"/>
  <c r="F134" i="3" s="1"/>
  <c r="C135" i="3"/>
  <c r="F135" i="3" s="1"/>
  <c r="C136" i="3"/>
  <c r="F136" i="3" s="1"/>
  <c r="C137" i="3"/>
  <c r="F137" i="3" s="1"/>
  <c r="C138" i="3"/>
  <c r="F138" i="3" s="1"/>
  <c r="C139" i="3"/>
  <c r="F139" i="3" s="1"/>
  <c r="C140" i="3"/>
  <c r="F140" i="3" s="1"/>
  <c r="C141" i="3"/>
  <c r="F141" i="3" s="1"/>
  <c r="C142" i="3"/>
  <c r="F142" i="3" s="1"/>
  <c r="C143" i="3"/>
  <c r="F143" i="3" s="1"/>
  <c r="C144" i="3"/>
  <c r="F144" i="3" s="1"/>
  <c r="C145" i="3"/>
  <c r="F145" i="3" s="1"/>
  <c r="C146" i="3"/>
  <c r="F146" i="3" s="1"/>
  <c r="C147" i="3"/>
  <c r="F147" i="3" s="1"/>
  <c r="C148" i="3"/>
  <c r="F148" i="3" s="1"/>
  <c r="C149" i="3"/>
  <c r="F149" i="3" s="1"/>
  <c r="C150" i="3"/>
  <c r="F150" i="3" s="1"/>
  <c r="C151" i="3"/>
  <c r="F151" i="3" s="1"/>
  <c r="C152" i="3"/>
  <c r="F152" i="3" s="1"/>
  <c r="C153" i="3"/>
  <c r="F153" i="3" s="1"/>
  <c r="C154" i="3"/>
  <c r="F154" i="3" s="1"/>
  <c r="C155" i="3"/>
  <c r="F155" i="3" s="1"/>
  <c r="C156" i="3"/>
  <c r="F156" i="3" s="1"/>
  <c r="C157" i="3"/>
  <c r="F157" i="3" s="1"/>
  <c r="C158" i="3"/>
  <c r="F158" i="3" s="1"/>
  <c r="C159" i="3"/>
  <c r="F159" i="3" s="1"/>
  <c r="C160" i="3"/>
  <c r="F160" i="3" s="1"/>
  <c r="C161" i="3"/>
  <c r="F161" i="3" s="1"/>
  <c r="E161" i="3" s="1"/>
  <c r="C162" i="3"/>
  <c r="F162" i="3" s="1"/>
  <c r="E162" i="3" s="1"/>
  <c r="C163" i="3"/>
  <c r="F163" i="3" s="1"/>
  <c r="E163" i="3" s="1"/>
  <c r="C164" i="3"/>
  <c r="F164" i="3" s="1"/>
  <c r="C165" i="3"/>
  <c r="F165" i="3" s="1"/>
  <c r="C166" i="3"/>
  <c r="F166" i="3" s="1"/>
  <c r="C167" i="3"/>
  <c r="F167" i="3" s="1"/>
  <c r="C168" i="3"/>
  <c r="F168" i="3" s="1"/>
  <c r="C169" i="3"/>
  <c r="F169" i="3" s="1"/>
  <c r="E169" i="3" s="1"/>
  <c r="C170" i="3"/>
  <c r="F170" i="3" s="1"/>
  <c r="E170" i="3" s="1"/>
  <c r="C171" i="3"/>
  <c r="F171" i="3" s="1"/>
  <c r="C172" i="3"/>
  <c r="F172" i="3" s="1"/>
  <c r="C173" i="3"/>
  <c r="F173" i="3" s="1"/>
  <c r="E173" i="3" s="1"/>
  <c r="C174" i="3"/>
  <c r="F174" i="3" s="1"/>
  <c r="C175" i="3"/>
  <c r="F175" i="3" s="1"/>
  <c r="E175" i="3" s="1"/>
  <c r="C176" i="3"/>
  <c r="F176" i="3" s="1"/>
  <c r="C177" i="3"/>
  <c r="F177" i="3" s="1"/>
  <c r="E177" i="3" s="1"/>
  <c r="C178" i="3"/>
  <c r="F178" i="3" s="1"/>
  <c r="E178" i="3" s="1"/>
  <c r="C179" i="3"/>
  <c r="F179" i="3" s="1"/>
  <c r="C180" i="3"/>
  <c r="F180" i="3" s="1"/>
  <c r="E180" i="3" s="1"/>
  <c r="C181" i="3"/>
  <c r="F181" i="3" s="1"/>
  <c r="C182" i="3"/>
  <c r="F182" i="3" s="1"/>
  <c r="E182" i="3" s="1"/>
  <c r="C183" i="3"/>
  <c r="F183" i="3" s="1"/>
  <c r="C184" i="3"/>
  <c r="F184" i="3" s="1"/>
  <c r="C185" i="3"/>
  <c r="F185" i="3" s="1"/>
  <c r="C186" i="3"/>
  <c r="F186" i="3" s="1"/>
  <c r="C187" i="3"/>
  <c r="F187" i="3" s="1"/>
  <c r="C188" i="3"/>
  <c r="F188" i="3" s="1"/>
  <c r="E188" i="3" s="1"/>
  <c r="C189" i="3"/>
  <c r="F189" i="3" s="1"/>
  <c r="E189" i="3" s="1"/>
  <c r="C190" i="3"/>
  <c r="F190" i="3" s="1"/>
  <c r="E190" i="3" s="1"/>
  <c r="C191" i="3"/>
  <c r="F191" i="3" s="1"/>
  <c r="C192" i="3"/>
  <c r="F192" i="3" s="1"/>
  <c r="E192" i="3" s="1"/>
  <c r="C193" i="3"/>
  <c r="F193" i="3" s="1"/>
  <c r="C194" i="3"/>
  <c r="F194" i="3" s="1"/>
  <c r="E194" i="3" s="1"/>
  <c r="C195" i="3"/>
  <c r="F195" i="3" s="1"/>
  <c r="C196" i="3"/>
  <c r="F196" i="3" s="1"/>
  <c r="C197" i="3"/>
  <c r="F197" i="3" s="1"/>
  <c r="C198" i="3"/>
  <c r="F198" i="3" s="1"/>
  <c r="C199" i="3"/>
  <c r="F199" i="3" s="1"/>
  <c r="E199" i="3" s="1"/>
  <c r="C200" i="3"/>
  <c r="F200" i="3" s="1"/>
  <c r="C201" i="3"/>
  <c r="F201" i="3" s="1"/>
  <c r="E201" i="3" s="1"/>
  <c r="C202" i="3"/>
  <c r="F202" i="3" s="1"/>
  <c r="C203" i="3"/>
  <c r="F203" i="3" s="1"/>
  <c r="E203" i="3" s="1"/>
  <c r="C204" i="3"/>
  <c r="F204" i="3" s="1"/>
  <c r="E204" i="3" s="1"/>
  <c r="C205" i="3"/>
  <c r="F205" i="3" s="1"/>
  <c r="C206" i="3"/>
  <c r="F206" i="3" s="1"/>
  <c r="E206" i="3" s="1"/>
  <c r="C207" i="3"/>
  <c r="F207" i="3" s="1"/>
  <c r="C208" i="3"/>
  <c r="F208" i="3" s="1"/>
  <c r="C209" i="3"/>
  <c r="F209" i="3" s="1"/>
  <c r="C210" i="3"/>
  <c r="F210" i="3" s="1"/>
  <c r="E210" i="3" s="1"/>
  <c r="C211" i="3"/>
  <c r="F211" i="3" s="1"/>
  <c r="C212" i="3"/>
  <c r="F212" i="3" s="1"/>
  <c r="E212" i="3" s="1"/>
  <c r="C213" i="3"/>
  <c r="F213" i="3" s="1"/>
  <c r="E213" i="3" s="1"/>
  <c r="C214" i="3"/>
  <c r="F214" i="3" s="1"/>
  <c r="C215" i="3"/>
  <c r="F215" i="3" s="1"/>
  <c r="E215" i="3" s="1"/>
  <c r="C216" i="3"/>
  <c r="F216" i="3" s="1"/>
  <c r="E216" i="3" s="1"/>
  <c r="C217" i="3"/>
  <c r="F217" i="3" s="1"/>
  <c r="E217" i="3" s="1"/>
  <c r="C218" i="3"/>
  <c r="F218" i="3" s="1"/>
  <c r="E218" i="3" s="1"/>
  <c r="C219" i="3"/>
  <c r="F219" i="3" s="1"/>
  <c r="E219" i="3" s="1"/>
  <c r="C220" i="3"/>
  <c r="F220" i="3" s="1"/>
  <c r="E220" i="3" s="1"/>
  <c r="C221" i="3"/>
  <c r="F221" i="3" s="1"/>
  <c r="E221" i="3" s="1"/>
  <c r="C222" i="3"/>
  <c r="F222" i="3" s="1"/>
  <c r="E222" i="3" s="1"/>
  <c r="C223" i="3"/>
  <c r="F223" i="3" s="1"/>
  <c r="E223" i="3" s="1"/>
  <c r="C224" i="3"/>
  <c r="F224" i="3" s="1"/>
  <c r="E224" i="3" s="1"/>
  <c r="C225" i="3"/>
  <c r="F225" i="3" s="1"/>
  <c r="E225" i="3" s="1"/>
  <c r="C226" i="3"/>
  <c r="F226" i="3" s="1"/>
  <c r="E226" i="3" s="1"/>
  <c r="C227" i="3"/>
  <c r="F227" i="3" s="1"/>
  <c r="E227" i="3" s="1"/>
  <c r="C228" i="3"/>
  <c r="F228" i="3" s="1"/>
  <c r="E228" i="3" s="1"/>
  <c r="C229" i="3"/>
  <c r="F229" i="3" s="1"/>
  <c r="E229" i="3" s="1"/>
  <c r="C230" i="3"/>
  <c r="F230" i="3" s="1"/>
  <c r="E230" i="3" s="1"/>
  <c r="C231" i="3"/>
  <c r="F231" i="3" s="1"/>
  <c r="E231" i="3" s="1"/>
  <c r="C232" i="3"/>
  <c r="F232" i="3" s="1"/>
  <c r="E232" i="3" s="1"/>
  <c r="C233" i="3"/>
  <c r="F233" i="3" s="1"/>
  <c r="E233" i="3" s="1"/>
  <c r="C234" i="3"/>
  <c r="F234" i="3" s="1"/>
  <c r="E234" i="3" s="1"/>
  <c r="C235" i="3"/>
  <c r="F235" i="3" s="1"/>
  <c r="E235" i="3" s="1"/>
  <c r="C236" i="3"/>
  <c r="F236" i="3" s="1"/>
  <c r="E236" i="3" s="1"/>
  <c r="C237" i="3"/>
  <c r="F237" i="3" s="1"/>
  <c r="E237" i="3" s="1"/>
  <c r="C238" i="3"/>
  <c r="F238" i="3" s="1"/>
  <c r="E238" i="3" s="1"/>
  <c r="C239" i="3"/>
  <c r="F239" i="3" s="1"/>
  <c r="E239" i="3" s="1"/>
  <c r="C240" i="3"/>
  <c r="F240" i="3" s="1"/>
  <c r="E240" i="3" s="1"/>
  <c r="C241" i="3"/>
  <c r="F241" i="3" s="1"/>
  <c r="E241" i="3" s="1"/>
  <c r="C242" i="3"/>
  <c r="F242" i="3" s="1"/>
  <c r="E242" i="3" s="1"/>
  <c r="C243" i="3"/>
  <c r="F243" i="3" s="1"/>
  <c r="E243" i="3" s="1"/>
  <c r="C244" i="3"/>
  <c r="F244" i="3" s="1"/>
  <c r="E244" i="3" s="1"/>
  <c r="C245" i="3"/>
  <c r="F245" i="3" s="1"/>
  <c r="E245" i="3" s="1"/>
  <c r="C246" i="3"/>
  <c r="F246" i="3" s="1"/>
  <c r="E246" i="3" s="1"/>
  <c r="C247" i="3"/>
  <c r="F247" i="3" s="1"/>
  <c r="E247" i="3" s="1"/>
  <c r="C248" i="3"/>
  <c r="F248" i="3" s="1"/>
  <c r="E248" i="3" s="1"/>
  <c r="C249" i="3"/>
  <c r="F249" i="3" s="1"/>
  <c r="E249" i="3" s="1"/>
  <c r="C250" i="3"/>
  <c r="F250" i="3" s="1"/>
  <c r="E250" i="3" s="1"/>
  <c r="C251" i="3"/>
  <c r="F251" i="3" s="1"/>
  <c r="E251" i="3" s="1"/>
  <c r="C252" i="3"/>
  <c r="F252" i="3" s="1"/>
  <c r="E252" i="3" s="1"/>
  <c r="C253" i="3"/>
  <c r="F253" i="3" s="1"/>
  <c r="E253" i="3" s="1"/>
  <c r="C254" i="3"/>
  <c r="F254" i="3" s="1"/>
  <c r="E254" i="3" s="1"/>
  <c r="C255" i="3"/>
  <c r="F255" i="3" s="1"/>
  <c r="E255" i="3" s="1"/>
  <c r="C256" i="3"/>
  <c r="F256" i="3" s="1"/>
  <c r="E256" i="3" s="1"/>
  <c r="C257" i="3"/>
  <c r="F257" i="3" s="1"/>
  <c r="E257" i="3" s="1"/>
  <c r="C258" i="3"/>
  <c r="F258" i="3" s="1"/>
  <c r="E258" i="3" s="1"/>
  <c r="C259" i="3"/>
  <c r="F259" i="3" s="1"/>
  <c r="E259" i="3" s="1"/>
  <c r="C260" i="3"/>
  <c r="F260" i="3" s="1"/>
  <c r="E260" i="3" s="1"/>
  <c r="C261" i="3"/>
  <c r="F261" i="3" s="1"/>
  <c r="E261" i="3" s="1"/>
  <c r="C262" i="3"/>
  <c r="F262" i="3" s="1"/>
  <c r="E262" i="3" s="1"/>
  <c r="C263" i="3"/>
  <c r="F263" i="3" s="1"/>
  <c r="E263" i="3" s="1"/>
  <c r="C264" i="3"/>
  <c r="F264" i="3" s="1"/>
  <c r="E264" i="3" s="1"/>
  <c r="C265" i="3"/>
  <c r="F265" i="3" s="1"/>
  <c r="E265" i="3" s="1"/>
  <c r="C266" i="3"/>
  <c r="F266" i="3" s="1"/>
  <c r="E266" i="3" s="1"/>
  <c r="C267" i="3"/>
  <c r="F267" i="3" s="1"/>
  <c r="E267" i="3" s="1"/>
  <c r="C268" i="3"/>
  <c r="F268" i="3" s="1"/>
  <c r="E268" i="3" s="1"/>
  <c r="C269" i="3"/>
  <c r="F269" i="3" s="1"/>
  <c r="E269" i="3" s="1"/>
  <c r="C270" i="3"/>
  <c r="F270" i="3" s="1"/>
  <c r="E270" i="3" s="1"/>
  <c r="C271" i="3"/>
  <c r="F271" i="3" s="1"/>
  <c r="C272" i="3"/>
  <c r="F272" i="3" s="1"/>
  <c r="C273" i="3"/>
  <c r="F273" i="3" s="1"/>
  <c r="C274" i="3"/>
  <c r="F274" i="3" s="1"/>
  <c r="C275" i="3"/>
  <c r="F275" i="3" s="1"/>
  <c r="C276" i="3"/>
  <c r="F276" i="3" s="1"/>
  <c r="C277" i="3"/>
  <c r="F277" i="3" s="1"/>
  <c r="C278" i="3"/>
  <c r="F278" i="3" s="1"/>
  <c r="C279" i="3"/>
  <c r="F279" i="3" s="1"/>
  <c r="C280" i="3"/>
  <c r="F280" i="3" s="1"/>
  <c r="C281" i="3"/>
  <c r="F281" i="3" s="1"/>
  <c r="C282" i="3"/>
  <c r="F282" i="3" s="1"/>
  <c r="C283" i="3"/>
  <c r="F283" i="3" s="1"/>
  <c r="C284" i="3"/>
  <c r="F284" i="3" s="1"/>
  <c r="C285" i="3"/>
  <c r="F285" i="3" s="1"/>
  <c r="C286" i="3"/>
  <c r="F286" i="3" s="1"/>
  <c r="C287" i="3"/>
  <c r="F287" i="3" s="1"/>
  <c r="C288" i="3"/>
  <c r="F288" i="3" s="1"/>
  <c r="C289" i="3"/>
  <c r="F289" i="3" s="1"/>
  <c r="C290" i="3"/>
  <c r="F290" i="3" s="1"/>
  <c r="C291" i="3"/>
  <c r="F291" i="3" s="1"/>
  <c r="C292" i="3"/>
  <c r="F292" i="3" s="1"/>
  <c r="C293" i="3"/>
  <c r="F293" i="3" s="1"/>
  <c r="C294" i="3"/>
  <c r="F294" i="3" s="1"/>
  <c r="C295" i="3"/>
  <c r="F295" i="3" s="1"/>
  <c r="C296" i="3"/>
  <c r="F296" i="3" s="1"/>
  <c r="C297" i="3"/>
  <c r="F297" i="3" s="1"/>
  <c r="C298" i="3"/>
  <c r="F298" i="3" s="1"/>
  <c r="C299" i="3"/>
  <c r="F299" i="3" s="1"/>
  <c r="C300" i="3"/>
  <c r="F300" i="3" s="1"/>
  <c r="C301" i="3"/>
  <c r="F301" i="3" s="1"/>
  <c r="C302" i="3"/>
  <c r="F302" i="3" s="1"/>
  <c r="C303" i="3"/>
  <c r="F303" i="3" s="1"/>
  <c r="C304" i="3"/>
  <c r="F304" i="3" s="1"/>
  <c r="C305" i="3"/>
  <c r="F305" i="3" s="1"/>
  <c r="C306" i="3"/>
  <c r="F306" i="3" s="1"/>
  <c r="C307" i="3"/>
  <c r="F307" i="3" s="1"/>
  <c r="C308" i="3"/>
  <c r="F308" i="3" s="1"/>
  <c r="C309" i="3"/>
  <c r="F309" i="3" s="1"/>
  <c r="C310" i="3"/>
  <c r="F310" i="3" s="1"/>
  <c r="C311" i="3"/>
  <c r="F311" i="3" s="1"/>
  <c r="C312" i="3"/>
  <c r="F312" i="3" s="1"/>
  <c r="C313" i="3"/>
  <c r="F313" i="3" s="1"/>
  <c r="C314" i="3"/>
  <c r="F314" i="3" s="1"/>
  <c r="C315" i="3"/>
  <c r="F315" i="3" s="1"/>
  <c r="C316" i="3"/>
  <c r="F316" i="3" s="1"/>
  <c r="C317" i="3"/>
  <c r="F317" i="3" s="1"/>
  <c r="C318" i="3"/>
  <c r="F318" i="3" s="1"/>
  <c r="C319" i="3"/>
  <c r="F319" i="3" s="1"/>
  <c r="C320" i="3"/>
  <c r="F320" i="3" s="1"/>
  <c r="D2" i="3"/>
  <c r="G2" i="3" s="1"/>
  <c r="D3" i="3"/>
  <c r="G3" i="3" s="1"/>
  <c r="D4" i="3"/>
  <c r="G4" i="3" s="1"/>
  <c r="D5" i="3"/>
  <c r="G5" i="3" s="1"/>
  <c r="D6" i="3"/>
  <c r="G6" i="3" s="1"/>
  <c r="D7" i="3"/>
  <c r="G7" i="3" s="1"/>
  <c r="D8" i="3"/>
  <c r="G8" i="3" s="1"/>
  <c r="D9" i="3"/>
  <c r="G9" i="3" s="1"/>
  <c r="D10" i="3"/>
  <c r="G10" i="3" s="1"/>
  <c r="D11" i="3"/>
  <c r="G11" i="3" s="1"/>
  <c r="D12" i="3"/>
  <c r="G12" i="3" s="1"/>
  <c r="D13" i="3"/>
  <c r="G13" i="3" s="1"/>
  <c r="D14" i="3"/>
  <c r="G14" i="3" s="1"/>
  <c r="D15" i="3"/>
  <c r="G15" i="3" s="1"/>
  <c r="D16" i="3"/>
  <c r="G16" i="3" s="1"/>
  <c r="D17" i="3"/>
  <c r="G17" i="3" s="1"/>
  <c r="D18" i="3"/>
  <c r="G18" i="3" s="1"/>
  <c r="D19" i="3"/>
  <c r="G19" i="3" s="1"/>
  <c r="D20" i="3"/>
  <c r="G20" i="3" s="1"/>
  <c r="D21" i="3"/>
  <c r="G21" i="3" s="1"/>
  <c r="D22" i="3"/>
  <c r="G22" i="3" s="1"/>
  <c r="D23" i="3"/>
  <c r="G23" i="3" s="1"/>
  <c r="D24" i="3"/>
  <c r="G24" i="3" s="1"/>
  <c r="D25" i="3"/>
  <c r="G25" i="3" s="1"/>
  <c r="D26" i="3"/>
  <c r="G26" i="3" s="1"/>
  <c r="D27" i="3"/>
  <c r="G27" i="3" s="1"/>
  <c r="D28" i="3"/>
  <c r="G28" i="3" s="1"/>
  <c r="D29" i="3"/>
  <c r="G29" i="3" s="1"/>
  <c r="D30" i="3"/>
  <c r="G30" i="3" s="1"/>
  <c r="D31" i="3"/>
  <c r="G31" i="3" s="1"/>
  <c r="D32" i="3"/>
  <c r="G32" i="3" s="1"/>
  <c r="D33" i="3"/>
  <c r="G33" i="3" s="1"/>
  <c r="D34" i="3"/>
  <c r="G34" i="3" s="1"/>
  <c r="D35" i="3"/>
  <c r="G35" i="3" s="1"/>
  <c r="D36" i="3"/>
  <c r="G36" i="3" s="1"/>
  <c r="D37" i="3"/>
  <c r="G37" i="3" s="1"/>
  <c r="D38" i="3"/>
  <c r="G38" i="3" s="1"/>
  <c r="D39" i="3"/>
  <c r="G39" i="3" s="1"/>
  <c r="D40" i="3"/>
  <c r="G40" i="3" s="1"/>
  <c r="D41" i="3"/>
  <c r="G41" i="3" s="1"/>
  <c r="D42" i="3"/>
  <c r="G42" i="3" s="1"/>
  <c r="D43" i="3"/>
  <c r="G43" i="3" s="1"/>
  <c r="D44" i="3"/>
  <c r="G44" i="3" s="1"/>
  <c r="D45" i="3"/>
  <c r="G45" i="3" s="1"/>
  <c r="D46" i="3"/>
  <c r="G46" i="3" s="1"/>
  <c r="D47" i="3"/>
  <c r="G47" i="3" s="1"/>
  <c r="D48" i="3"/>
  <c r="G48" i="3" s="1"/>
  <c r="D49" i="3"/>
  <c r="G49" i="3" s="1"/>
  <c r="D50" i="3"/>
  <c r="G50" i="3" s="1"/>
  <c r="D51" i="3"/>
  <c r="G51" i="3" s="1"/>
  <c r="D52" i="3"/>
  <c r="G52" i="3" s="1"/>
  <c r="D53" i="3"/>
  <c r="G53" i="3" s="1"/>
  <c r="D54" i="3"/>
  <c r="G54" i="3" s="1"/>
  <c r="D55" i="3"/>
  <c r="G55" i="3" s="1"/>
  <c r="D56" i="3"/>
  <c r="G56" i="3" s="1"/>
  <c r="D57" i="3"/>
  <c r="G57" i="3" s="1"/>
  <c r="D58" i="3"/>
  <c r="G58" i="3" s="1"/>
  <c r="D59" i="3"/>
  <c r="G59" i="3" s="1"/>
  <c r="D60" i="3"/>
  <c r="G60" i="3" s="1"/>
  <c r="D61" i="3"/>
  <c r="G61" i="3" s="1"/>
  <c r="D62" i="3"/>
  <c r="G62" i="3" s="1"/>
  <c r="D63" i="3"/>
  <c r="G63" i="3" s="1"/>
  <c r="D64" i="3"/>
  <c r="G64" i="3" s="1"/>
  <c r="D65" i="3"/>
  <c r="G65" i="3" s="1"/>
  <c r="D66" i="3"/>
  <c r="G66" i="3" s="1"/>
  <c r="D67" i="3"/>
  <c r="G67" i="3" s="1"/>
  <c r="D68" i="3"/>
  <c r="G68" i="3" s="1"/>
  <c r="D69" i="3"/>
  <c r="G69" i="3" s="1"/>
  <c r="D70" i="3"/>
  <c r="G70" i="3" s="1"/>
  <c r="D71" i="3"/>
  <c r="G71" i="3" s="1"/>
  <c r="D72" i="3"/>
  <c r="G72" i="3" s="1"/>
  <c r="D73" i="3"/>
  <c r="G73" i="3" s="1"/>
  <c r="D74" i="3"/>
  <c r="G74" i="3" s="1"/>
  <c r="D75" i="3"/>
  <c r="G75" i="3" s="1"/>
  <c r="D76" i="3"/>
  <c r="G76" i="3" s="1"/>
  <c r="D77" i="3"/>
  <c r="G77" i="3" s="1"/>
  <c r="D78" i="3"/>
  <c r="G78" i="3" s="1"/>
  <c r="D79" i="3"/>
  <c r="G79" i="3" s="1"/>
  <c r="D80" i="3"/>
  <c r="G80" i="3" s="1"/>
  <c r="D81" i="3"/>
  <c r="G81" i="3" s="1"/>
  <c r="D82" i="3"/>
  <c r="G82" i="3" s="1"/>
  <c r="D83" i="3"/>
  <c r="G83" i="3" s="1"/>
  <c r="D84" i="3"/>
  <c r="G84" i="3" s="1"/>
  <c r="D85" i="3"/>
  <c r="G85" i="3" s="1"/>
  <c r="D86" i="3"/>
  <c r="G86" i="3" s="1"/>
  <c r="D87" i="3"/>
  <c r="G87" i="3" s="1"/>
  <c r="D88" i="3"/>
  <c r="G88" i="3" s="1"/>
  <c r="D89" i="3"/>
  <c r="G89" i="3" s="1"/>
  <c r="D90" i="3"/>
  <c r="G90" i="3" s="1"/>
  <c r="D91" i="3"/>
  <c r="G91" i="3" s="1"/>
  <c r="D92" i="3"/>
  <c r="G92" i="3" s="1"/>
  <c r="D93" i="3"/>
  <c r="G93" i="3" s="1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G271" i="3" s="1"/>
  <c r="D272" i="3"/>
  <c r="G272" i="3" s="1"/>
  <c r="D273" i="3"/>
  <c r="G273" i="3" s="1"/>
  <c r="D274" i="3"/>
  <c r="G274" i="3" s="1"/>
  <c r="D275" i="3"/>
  <c r="G275" i="3" s="1"/>
  <c r="D276" i="3"/>
  <c r="G276" i="3" s="1"/>
  <c r="D277" i="3"/>
  <c r="G277" i="3" s="1"/>
  <c r="D278" i="3"/>
  <c r="G278" i="3" s="1"/>
  <c r="D279" i="3"/>
  <c r="G279" i="3" s="1"/>
  <c r="D280" i="3"/>
  <c r="G280" i="3" s="1"/>
  <c r="D281" i="3"/>
  <c r="G281" i="3" s="1"/>
  <c r="D282" i="3"/>
  <c r="G282" i="3" s="1"/>
  <c r="D283" i="3"/>
  <c r="G283" i="3" s="1"/>
  <c r="D284" i="3"/>
  <c r="G284" i="3" s="1"/>
  <c r="D285" i="3"/>
  <c r="G285" i="3" s="1"/>
  <c r="D286" i="3"/>
  <c r="G286" i="3" s="1"/>
  <c r="D287" i="3"/>
  <c r="G287" i="3" s="1"/>
  <c r="D288" i="3"/>
  <c r="G288" i="3" s="1"/>
  <c r="D289" i="3"/>
  <c r="G289" i="3" s="1"/>
  <c r="D290" i="3"/>
  <c r="G290" i="3" s="1"/>
  <c r="D291" i="3"/>
  <c r="G291" i="3" s="1"/>
  <c r="D292" i="3"/>
  <c r="G292" i="3" s="1"/>
  <c r="D293" i="3"/>
  <c r="G293" i="3" s="1"/>
  <c r="D294" i="3"/>
  <c r="G294" i="3" s="1"/>
  <c r="D295" i="3"/>
  <c r="G295" i="3" s="1"/>
  <c r="D296" i="3"/>
  <c r="G296" i="3" s="1"/>
  <c r="D297" i="3"/>
  <c r="G297" i="3" s="1"/>
  <c r="D298" i="3"/>
  <c r="G298" i="3" s="1"/>
  <c r="D299" i="3"/>
  <c r="G299" i="3" s="1"/>
  <c r="D300" i="3"/>
  <c r="G300" i="3" s="1"/>
  <c r="D301" i="3"/>
  <c r="G301" i="3" s="1"/>
  <c r="D302" i="3"/>
  <c r="G302" i="3" s="1"/>
  <c r="D303" i="3"/>
  <c r="G303" i="3" s="1"/>
  <c r="D304" i="3"/>
  <c r="G304" i="3" s="1"/>
  <c r="D305" i="3"/>
  <c r="G305" i="3" s="1"/>
  <c r="D306" i="3"/>
  <c r="G306" i="3" s="1"/>
  <c r="D307" i="3"/>
  <c r="G307" i="3" s="1"/>
  <c r="D308" i="3"/>
  <c r="G308" i="3" s="1"/>
  <c r="D309" i="3"/>
  <c r="G309" i="3" s="1"/>
  <c r="D310" i="3"/>
  <c r="G310" i="3" s="1"/>
  <c r="D311" i="3"/>
  <c r="G311" i="3" s="1"/>
  <c r="D312" i="3"/>
  <c r="G312" i="3" s="1"/>
  <c r="D313" i="3"/>
  <c r="G313" i="3" s="1"/>
  <c r="D314" i="3"/>
  <c r="G314" i="3" s="1"/>
  <c r="D315" i="3"/>
  <c r="G315" i="3" s="1"/>
  <c r="D316" i="3"/>
  <c r="G316" i="3" s="1"/>
  <c r="D317" i="3"/>
  <c r="G317" i="3" s="1"/>
  <c r="D318" i="3"/>
  <c r="G318" i="3" s="1"/>
  <c r="D319" i="3"/>
  <c r="G319" i="3" s="1"/>
  <c r="D320" i="3"/>
  <c r="G320" i="3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E323" i="2"/>
  <c r="E324" i="2"/>
  <c r="E322" i="2"/>
  <c r="C323" i="2"/>
  <c r="C324" i="2"/>
  <c r="C322" i="2"/>
  <c r="D324" i="2"/>
  <c r="D323" i="2"/>
  <c r="D322" i="2"/>
  <c r="D323" i="3"/>
  <c r="D324" i="3"/>
  <c r="D322" i="3"/>
  <c r="C323" i="3"/>
  <c r="C324" i="3"/>
  <c r="C322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E66" i="2" s="1"/>
  <c r="C67" i="2"/>
  <c r="E67" i="2" s="1"/>
  <c r="C68" i="2"/>
  <c r="E68" i="2" s="1"/>
  <c r="C69" i="2"/>
  <c r="E69" i="2" s="1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E163" i="2" s="1"/>
  <c r="C164" i="2"/>
  <c r="E164" i="2" s="1"/>
  <c r="C165" i="2"/>
  <c r="E165" i="2" s="1"/>
  <c r="C166" i="2"/>
  <c r="E166" i="2" s="1"/>
  <c r="C167" i="2"/>
  <c r="E167" i="2" s="1"/>
  <c r="C168" i="2"/>
  <c r="E168" i="2" s="1"/>
  <c r="C169" i="2"/>
  <c r="E169" i="2" s="1"/>
  <c r="C170" i="2"/>
  <c r="E170" i="2" s="1"/>
  <c r="C171" i="2"/>
  <c r="E171" i="2" s="1"/>
  <c r="C172" i="2"/>
  <c r="E172" i="2" s="1"/>
  <c r="C173" i="2"/>
  <c r="E173" i="2" s="1"/>
  <c r="C174" i="2"/>
  <c r="E174" i="2" s="1"/>
  <c r="C175" i="2"/>
  <c r="E175" i="2" s="1"/>
  <c r="C176" i="2"/>
  <c r="E176" i="2" s="1"/>
  <c r="C177" i="2"/>
  <c r="E177" i="2" s="1"/>
  <c r="C178" i="2"/>
  <c r="E178" i="2" s="1"/>
  <c r="C179" i="2"/>
  <c r="E179" i="2" s="1"/>
  <c r="C180" i="2"/>
  <c r="E180" i="2" s="1"/>
  <c r="C181" i="2"/>
  <c r="E181" i="2" s="1"/>
  <c r="C182" i="2"/>
  <c r="E182" i="2" s="1"/>
  <c r="C183" i="2"/>
  <c r="E183" i="2" s="1"/>
  <c r="C184" i="2"/>
  <c r="E184" i="2" s="1"/>
  <c r="C185" i="2"/>
  <c r="E185" i="2" s="1"/>
  <c r="C186" i="2"/>
  <c r="E186" i="2" s="1"/>
  <c r="C187" i="2"/>
  <c r="E187" i="2" s="1"/>
  <c r="C188" i="2"/>
  <c r="E188" i="2" s="1"/>
  <c r="C189" i="2"/>
  <c r="E189" i="2" s="1"/>
  <c r="C190" i="2"/>
  <c r="E190" i="2" s="1"/>
  <c r="C191" i="2"/>
  <c r="E191" i="2" s="1"/>
  <c r="C192" i="2"/>
  <c r="E192" i="2" s="1"/>
  <c r="C193" i="2"/>
  <c r="E193" i="2" s="1"/>
  <c r="C194" i="2"/>
  <c r="E194" i="2" s="1"/>
  <c r="C195" i="2"/>
  <c r="E195" i="2" s="1"/>
  <c r="C196" i="2"/>
  <c r="E196" i="2" s="1"/>
  <c r="C197" i="2"/>
  <c r="E197" i="2" s="1"/>
  <c r="C198" i="2"/>
  <c r="E198" i="2" s="1"/>
  <c r="C199" i="2"/>
  <c r="E199" i="2" s="1"/>
  <c r="C200" i="2"/>
  <c r="E200" i="2" s="1"/>
  <c r="C201" i="2"/>
  <c r="E201" i="2" s="1"/>
  <c r="C202" i="2"/>
  <c r="E202" i="2" s="1"/>
  <c r="C203" i="2"/>
  <c r="E203" i="2" s="1"/>
  <c r="C204" i="2"/>
  <c r="E204" i="2" s="1"/>
  <c r="C205" i="2"/>
  <c r="E205" i="2" s="1"/>
  <c r="C206" i="2"/>
  <c r="E206" i="2" s="1"/>
  <c r="C207" i="2"/>
  <c r="E207" i="2" s="1"/>
  <c r="C208" i="2"/>
  <c r="E208" i="2" s="1"/>
  <c r="C209" i="2"/>
  <c r="E209" i="2" s="1"/>
  <c r="C210" i="2"/>
  <c r="E210" i="2" s="1"/>
  <c r="C211" i="2"/>
  <c r="E211" i="2" s="1"/>
  <c r="C212" i="2"/>
  <c r="E212" i="2" s="1"/>
  <c r="C213" i="2"/>
  <c r="E213" i="2" s="1"/>
  <c r="C214" i="2"/>
  <c r="E214" i="2" s="1"/>
  <c r="C215" i="2"/>
  <c r="E215" i="2" s="1"/>
  <c r="C216" i="2"/>
  <c r="E216" i="2" s="1"/>
  <c r="C217" i="2"/>
  <c r="E217" i="2" s="1"/>
  <c r="C218" i="2"/>
  <c r="E218" i="2" s="1"/>
  <c r="C219" i="2"/>
  <c r="E219" i="2" s="1"/>
  <c r="C220" i="2"/>
  <c r="E220" i="2" s="1"/>
  <c r="C221" i="2"/>
  <c r="E221" i="2" s="1"/>
  <c r="C222" i="2"/>
  <c r="E222" i="2" s="1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E301" i="2" s="1"/>
  <c r="D302" i="2"/>
  <c r="E302" i="2" s="1"/>
  <c r="D303" i="2"/>
  <c r="E303" i="2" s="1"/>
  <c r="D304" i="2"/>
  <c r="E304" i="2" s="1"/>
  <c r="D305" i="2"/>
  <c r="E305" i="2" s="1"/>
  <c r="D306" i="2"/>
  <c r="E306" i="2" s="1"/>
  <c r="D307" i="2"/>
  <c r="E307" i="2" s="1"/>
  <c r="D308" i="2"/>
  <c r="E308" i="2" s="1"/>
  <c r="D309" i="2"/>
  <c r="E309" i="2" s="1"/>
  <c r="D310" i="2"/>
  <c r="E310" i="2" s="1"/>
  <c r="D311" i="2"/>
  <c r="E311" i="2" s="1"/>
  <c r="D312" i="2"/>
  <c r="E312" i="2" s="1"/>
  <c r="D313" i="2"/>
  <c r="E313" i="2" s="1"/>
  <c r="D314" i="2"/>
  <c r="E314" i="2" s="1"/>
  <c r="D315" i="2"/>
  <c r="E315" i="2" s="1"/>
  <c r="D316" i="2"/>
  <c r="E316" i="2" s="1"/>
  <c r="D317" i="2"/>
  <c r="E317" i="2" s="1"/>
  <c r="D318" i="2"/>
  <c r="E318" i="2" s="1"/>
  <c r="D319" i="2"/>
  <c r="E319" i="2" s="1"/>
  <c r="D320" i="2"/>
  <c r="E320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236" i="2"/>
  <c r="E237" i="2"/>
  <c r="E238" i="2"/>
  <c r="E239" i="2"/>
  <c r="E240" i="2"/>
  <c r="E241" i="2"/>
  <c r="E242" i="2"/>
  <c r="E243" i="2"/>
  <c r="E244" i="2"/>
  <c r="E245" i="2"/>
  <c r="E133" i="3" l="1"/>
  <c r="E134" i="3"/>
  <c r="E135" i="3"/>
  <c r="E137" i="3"/>
  <c r="E139" i="3"/>
  <c r="E159" i="3"/>
  <c r="E166" i="3"/>
  <c r="E174" i="3"/>
  <c r="E183" i="3"/>
  <c r="E187" i="3"/>
  <c r="E193" i="3"/>
  <c r="E198" i="3"/>
  <c r="E208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64" i="3"/>
  <c r="E171" i="3"/>
  <c r="E179" i="3"/>
  <c r="E184" i="3"/>
  <c r="E191" i="3"/>
  <c r="E197" i="3"/>
  <c r="E205" i="3"/>
  <c r="E211" i="3"/>
  <c r="E157" i="3"/>
  <c r="E168" i="3"/>
  <c r="E176" i="3"/>
  <c r="E185" i="3"/>
  <c r="E196" i="3"/>
  <c r="E202" i="3"/>
  <c r="E209" i="3"/>
  <c r="E3" i="3"/>
  <c r="E5" i="3"/>
  <c r="E6" i="3"/>
  <c r="E7" i="3"/>
  <c r="E8" i="3"/>
  <c r="E10" i="3"/>
  <c r="E11" i="3"/>
  <c r="E12" i="3"/>
  <c r="E14" i="3"/>
  <c r="E15" i="3"/>
  <c r="E16" i="3"/>
  <c r="E18" i="3"/>
  <c r="E19" i="3"/>
  <c r="E20" i="3"/>
  <c r="E21" i="3"/>
  <c r="E23" i="3"/>
  <c r="E24" i="3"/>
  <c r="E25" i="3"/>
  <c r="E27" i="3"/>
  <c r="E28" i="3"/>
  <c r="E29" i="3"/>
  <c r="E31" i="3"/>
  <c r="E32" i="3"/>
  <c r="E33" i="3"/>
  <c r="E35" i="3"/>
  <c r="E36" i="3"/>
  <c r="E37" i="3"/>
  <c r="E39" i="3"/>
  <c r="E40" i="3"/>
  <c r="E41" i="3"/>
  <c r="E158" i="3"/>
  <c r="E160" i="3"/>
  <c r="E165" i="3"/>
  <c r="E172" i="3"/>
  <c r="E181" i="3"/>
  <c r="E186" i="3"/>
  <c r="E195" i="3"/>
  <c r="E207" i="3"/>
  <c r="E2" i="3"/>
  <c r="E4" i="3"/>
  <c r="E9" i="3"/>
  <c r="E13" i="3"/>
  <c r="E17" i="3"/>
  <c r="E22" i="3"/>
  <c r="E26" i="3"/>
  <c r="E30" i="3"/>
  <c r="E34" i="3"/>
  <c r="E38" i="3"/>
  <c r="E42" i="3"/>
  <c r="E167" i="3"/>
  <c r="E200" i="3"/>
  <c r="E214" i="3"/>
  <c r="E132" i="3"/>
  <c r="E136" i="3"/>
  <c r="E131" i="3"/>
  <c r="E138" i="3"/>
  <c r="E54" i="3"/>
  <c r="E83" i="3"/>
  <c r="E271" i="3"/>
  <c r="E291" i="3"/>
  <c r="E309" i="3"/>
  <c r="E79" i="3"/>
  <c r="E278" i="3"/>
  <c r="E297" i="3"/>
  <c r="E318" i="3"/>
  <c r="E275" i="3"/>
  <c r="E287" i="3"/>
  <c r="E296" i="3"/>
  <c r="E303" i="3"/>
  <c r="E311" i="3"/>
  <c r="E320" i="3"/>
  <c r="E289" i="3"/>
  <c r="E312" i="3"/>
  <c r="E60" i="3"/>
  <c r="E72" i="3"/>
  <c r="E77" i="3"/>
  <c r="E82" i="3"/>
  <c r="E87" i="3"/>
  <c r="E91" i="3"/>
  <c r="E273" i="3"/>
  <c r="E277" i="3"/>
  <c r="E282" i="3"/>
  <c r="E290" i="3"/>
  <c r="E299" i="3"/>
  <c r="E304" i="3"/>
  <c r="E314" i="3"/>
  <c r="E292" i="3"/>
  <c r="E316" i="3"/>
  <c r="E47" i="3"/>
  <c r="E57" i="3"/>
  <c r="E59" i="3"/>
  <c r="E62" i="3"/>
  <c r="E63" i="3"/>
  <c r="E67" i="3"/>
  <c r="E70" i="3"/>
  <c r="E74" i="3"/>
  <c r="E76" i="3"/>
  <c r="E81" i="3"/>
  <c r="E86" i="3"/>
  <c r="E89" i="3"/>
  <c r="E93" i="3"/>
  <c r="E276" i="3"/>
  <c r="E284" i="3"/>
  <c r="E293" i="3"/>
  <c r="E300" i="3"/>
  <c r="E307" i="3"/>
  <c r="E315" i="3"/>
  <c r="E66" i="3"/>
  <c r="E272" i="3"/>
  <c r="E279" i="3"/>
  <c r="E283" i="3"/>
  <c r="E294" i="3"/>
  <c r="E301" i="3"/>
  <c r="E308" i="3"/>
  <c r="E317" i="3"/>
  <c r="E43" i="3"/>
  <c r="E44" i="3"/>
  <c r="E45" i="3"/>
  <c r="E46" i="3"/>
  <c r="E48" i="3"/>
  <c r="E49" i="3"/>
  <c r="E50" i="3"/>
  <c r="E51" i="3"/>
  <c r="E53" i="3"/>
  <c r="E55" i="3"/>
  <c r="E56" i="3"/>
  <c r="E58" i="3"/>
  <c r="E61" i="3"/>
  <c r="E64" i="3"/>
  <c r="E68" i="3"/>
  <c r="E71" i="3"/>
  <c r="E78" i="3"/>
  <c r="E84" i="3"/>
  <c r="E88" i="3"/>
  <c r="E92" i="3"/>
  <c r="E281" i="3"/>
  <c r="E288" i="3"/>
  <c r="E295" i="3"/>
  <c r="E302" i="3"/>
  <c r="E310" i="3"/>
  <c r="E319" i="3"/>
  <c r="E52" i="3"/>
  <c r="E65" i="3"/>
  <c r="E69" i="3"/>
  <c r="E73" i="3"/>
  <c r="E75" i="3"/>
  <c r="E80" i="3"/>
  <c r="E85" i="3"/>
  <c r="E90" i="3"/>
  <c r="E274" i="3"/>
  <c r="E280" i="3"/>
  <c r="E286" i="3"/>
  <c r="E298" i="3"/>
  <c r="E305" i="3"/>
  <c r="E313" i="3"/>
  <c r="E285" i="3"/>
  <c r="E306" i="3"/>
  <c r="I323" i="3"/>
  <c r="G323" i="3"/>
  <c r="I324" i="3"/>
  <c r="G324" i="3"/>
  <c r="I322" i="3"/>
  <c r="G322" i="3"/>
  <c r="H323" i="3"/>
  <c r="F323" i="3"/>
  <c r="H324" i="3"/>
  <c r="F324" i="3"/>
  <c r="H322" i="3"/>
  <c r="F322" i="3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5" i="2"/>
  <c r="E56" i="2"/>
  <c r="E57" i="2"/>
  <c r="E58" i="2"/>
  <c r="E59" i="2"/>
  <c r="E60" i="2"/>
  <c r="E61" i="2"/>
  <c r="E62" i="2"/>
  <c r="E64" i="2"/>
  <c r="E65" i="2"/>
  <c r="E141" i="2"/>
  <c r="E145" i="2"/>
  <c r="E147" i="2"/>
  <c r="E149" i="2"/>
  <c r="E153" i="2"/>
  <c r="E157" i="2"/>
  <c r="E160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39" i="2"/>
  <c r="E140" i="2"/>
  <c r="E142" i="2"/>
  <c r="E144" i="2"/>
  <c r="E146" i="2"/>
  <c r="E148" i="2"/>
  <c r="E150" i="2"/>
  <c r="E154" i="2"/>
  <c r="E158" i="2"/>
  <c r="E161" i="2"/>
  <c r="E138" i="2"/>
  <c r="E151" i="2"/>
  <c r="E156" i="2"/>
  <c r="E159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63" i="2"/>
  <c r="E155" i="2"/>
  <c r="E54" i="2"/>
  <c r="E143" i="2"/>
  <c r="E152" i="2"/>
  <c r="E162" i="2"/>
  <c r="E324" i="3" l="1"/>
  <c r="E323" i="3"/>
  <c r="E32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01F0C2-0065-4E64-9939-9AED3536A88A}" keepAlive="1" name="ModelConnection_ExternalData_3" description="数据模型" type="5" refreshedVersion="8" minRefreshableVersion="5" saveData="1">
    <dbPr connection="Data Model Connection" command="PO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390E470-256D-4B1B-95E1-6A7CFFC58978}" keepAlive="1" name="ModelConnection_ExternalData_4" description="数据模型" type="5" refreshedVersion="8" minRefreshableVersion="5" saveData="1">
    <dbPr connection="Data Model Connection" command="POD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4F2FBFB-B1EA-41D0-886A-5B8DEDAE87A1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D0D41EDE-D512-4D82-829C-493CBFA4F865}" name="查询 - POD" description="与工作簿中“POD”查询的连接。" type="100" refreshedVersion="8" minRefreshableVersion="5">
    <extLst>
      <ext xmlns:x15="http://schemas.microsoft.com/office/spreadsheetml/2010/11/main" uri="{DE250136-89BD-433C-8126-D09CA5730AF9}">
        <x15:connection id="b0cc6de0-45e4-4571-a840-372ec02ea832"/>
      </ext>
    </extLst>
  </connection>
  <connection id="5" xr16:uid="{594E1735-DA8D-4D76-9954-F420662F5799}" name="查询 - POL" description="与工作簿中“POL”查询的连接。" type="100" refreshedVersion="8" minRefreshableVersion="5">
    <extLst>
      <ext xmlns:x15="http://schemas.microsoft.com/office/spreadsheetml/2010/11/main" uri="{DE250136-89BD-433C-8126-D09CA5730AF9}">
        <x15:connection id="ea97cca3-0c75-4d65-b7a3-d28cd1479877"/>
      </ext>
    </extLst>
  </connection>
  <connection id="6" xr16:uid="{A299A5B0-84F0-4BAF-B36D-77B35ED694D3}" keepAlive="1" name="查询 - Port Optimization 001" description="与工作簿中“Port Optimization 001”查询的连接。" type="5" refreshedVersion="8" background="1" saveData="1">
    <dbPr connection="Provider=Microsoft.Mashup.OleDb.1;Data Source=$Workbook$;Location=&quot;Port Optimization 001&quot;;Extended Properties=&quot;&quot;" command="SELECT * FROM [Port Optimization 001]"/>
  </connection>
  <connection id="7" xr16:uid="{61FBF05D-C330-43E8-A39A-8EB720002B8E}" keepAlive="1" name="查询 - Port Optimization 365" description="与工作簿中“Port Optimization 365”查询的连接。" type="5" refreshedVersion="8" background="1" saveData="1">
    <dbPr connection="Provider=Microsoft.Mashup.OleDb.1;Data Source=$Workbook$;Location=&quot;Port Optimization 365&quot;;Extended Properties=&quot;&quot;" command="SELECT * FROM [Port Optimization 365]"/>
  </connection>
  <connection id="8" xr16:uid="{9409B687-E18F-4CCD-A6C3-1F08D5A642B6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9" xr16:uid="{95A6F19A-1BC0-47B3-8B1D-8F637D35367C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10" xr16:uid="{DFC8CE8A-1681-4D1B-8FB1-9F72ADA6A799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1" xr16:uid="{AE9FCC7C-5305-40AD-9E9D-9ABC0BBAF9E5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<sst xmlns="http://schemas.openxmlformats.org/spreadsheetml/2006/main" count="4184" uniqueCount="1512">
  <si>
    <t>POL</t>
  </si>
  <si>
    <t>POD</t>
  </si>
  <si>
    <t>POL.Weiyun</t>
  </si>
  <si>
    <t>POD.Weiyun</t>
  </si>
  <si>
    <t>st</t>
  </si>
  <si>
    <t>de</t>
  </si>
  <si>
    <t>rg</t>
  </si>
  <si>
    <t>rt</t>
  </si>
  <si>
    <t>Cai Mep, Vietnam</t>
  </si>
  <si>
    <t>Dammam, Saudi Arabia</t>
  </si>
  <si>
    <t>EqaJ6TDe%252FxEv5kTMGPyXEw%253D%253D</t>
  </si>
  <si>
    <t>avCPiTfdl2v%252BuDHEPYQkLw%253D%253D</t>
  </si>
  <si>
    <t>nIJ3Uyv%252Bm7qB2PS5QvkN1A%253D%253D</t>
  </si>
  <si>
    <t>VNTOT</t>
  </si>
  <si>
    <t>SADMM</t>
  </si>
  <si>
    <t>Jebel Ali, United Arab Emirates</t>
  </si>
  <si>
    <t>SbjTwb99PCeDQHDeZwEvvA%253D%253D</t>
  </si>
  <si>
    <t>AEJEA</t>
  </si>
  <si>
    <t>Balboa, Panama</t>
  </si>
  <si>
    <t>tcS9Riy%252FOQ0F96F7MGSWlQ%253D%253D</t>
  </si>
  <si>
    <t>eAhwAhPCSEryNn434iy2MA%253D%253D</t>
  </si>
  <si>
    <t>PABLB</t>
  </si>
  <si>
    <t>Cartagena, Colombia</t>
  </si>
  <si>
    <t>EqCmVlR%252BDsAlAjSTSFRjHw%253D%253D</t>
  </si>
  <si>
    <t>rSDolrCl4cQcOeyAyTf1zg%253D%253D</t>
  </si>
  <si>
    <t>COCTG</t>
  </si>
  <si>
    <t>Colon, Panama</t>
  </si>
  <si>
    <t>vRp38hcdALtG2Dp2p6%252F8wg%253D%253D</t>
  </si>
  <si>
    <t>PAONX</t>
  </si>
  <si>
    <t>Itajai, Brazil</t>
  </si>
  <si>
    <t>xzpnhWRUjlMAHaxpSP1FLg%253D%253D</t>
  </si>
  <si>
    <t>x61UdCRqU8mCaDHdssLZSg%253D%253D</t>
  </si>
  <si>
    <t>BRITJ</t>
  </si>
  <si>
    <t>Santos, Brazil</t>
  </si>
  <si>
    <t>BdZ%252FtNPnUUWx6c7yvRrzUw%253D%253D</t>
  </si>
  <si>
    <t>BRSSZ</t>
  </si>
  <si>
    <t>Antwerp, Belgium</t>
  </si>
  <si>
    <t>jmlRujkGSnPehFHjyVeJXQ%253D%253D</t>
  </si>
  <si>
    <t>IV85J0mX0Segto%252FH4Zk5Tg%253D%253D</t>
  </si>
  <si>
    <t>BEANR</t>
  </si>
  <si>
    <t>Felixstowe, United Kingdom</t>
  </si>
  <si>
    <t>lyIBtN5jVeYlTjYD7kLYaQ%253D%253D</t>
  </si>
  <si>
    <t>GBFXT</t>
  </si>
  <si>
    <t>Gdansk, Poland</t>
  </si>
  <si>
    <t>WfSnMUkYxVKkBwIjaNjY0Q%253D%253D</t>
  </si>
  <si>
    <t>4LEC8reGgGb2C69AYY5Hqw%253D%253D</t>
  </si>
  <si>
    <t>PLGDN</t>
  </si>
  <si>
    <t>Gdynia, Poland</t>
  </si>
  <si>
    <t>9hDvH3l7oITd5HSeqUJUPA%253D%253D</t>
  </si>
  <si>
    <t>PLGDY</t>
  </si>
  <si>
    <t>Hamburg, Germany</t>
  </si>
  <si>
    <t>ZqmHDu3yjyhl%252F%252FyuvGmD%252Fg%253D%253D</t>
  </si>
  <si>
    <t>DEHAM</t>
  </si>
  <si>
    <t>Klaipeda, Lithuania</t>
  </si>
  <si>
    <t>LjaH4oClScex1WxSptyrDQ%253D%253D</t>
  </si>
  <si>
    <t>LTKLJ</t>
  </si>
  <si>
    <t>Le Havre, France</t>
  </si>
  <si>
    <t>fLbVP0U0j0NSOnYYhGn60g%253D%253D</t>
  </si>
  <si>
    <t>FRLEH</t>
  </si>
  <si>
    <t>Rotterdam, Netherlands</t>
  </si>
  <si>
    <t>h375AOSlvQCFgmjT%252F5HSqA%253D%253D</t>
  </si>
  <si>
    <t>NLRTM</t>
  </si>
  <si>
    <t>Zeebrugge, Belgium</t>
  </si>
  <si>
    <t>wh7HRbzlSgsBhiDssFYkMg%253D%253D</t>
  </si>
  <si>
    <t>BEZEE</t>
  </si>
  <si>
    <t>Colombo, Sri Lanka</t>
  </si>
  <si>
    <t>q8WDyyHdjjx8XNBkkJqSWA%253D%253D</t>
  </si>
  <si>
    <t>ZY9R0ulrUtfklWEEetRGPg%253D%253D</t>
  </si>
  <si>
    <t>LKCMB</t>
  </si>
  <si>
    <t>Mundra, India</t>
  </si>
  <si>
    <t>%252BB9fmSKB17T0hrJwRG24Sg%253D%253D</t>
  </si>
  <si>
    <t>INMUN</t>
  </si>
  <si>
    <t>Nhava Sheva, India</t>
  </si>
  <si>
    <t>jD0OvY0B6WYFRxQO7kBFtg%253D%253D</t>
  </si>
  <si>
    <t>INNSA</t>
  </si>
  <si>
    <t>Algeciras, Spain</t>
  </si>
  <si>
    <t>04yntDbB8pUcVTb0IfxmVQ%253D%253D</t>
  </si>
  <si>
    <t>3U623zVBsOeXBLWrfPFQPg%253D%253D</t>
  </si>
  <si>
    <t>ESALG</t>
  </si>
  <si>
    <t>Ashdod, Israel</t>
  </si>
  <si>
    <t>PclJSlmCYw0M4QT9bT%252BCVw%253D%253D</t>
  </si>
  <si>
    <t>%252B0OYVDebDGU4ZUDCUVe4uQ%253D%253D</t>
  </si>
  <si>
    <t>ILASH</t>
  </si>
  <si>
    <t>Barcelona, Spain</t>
  </si>
  <si>
    <t>GrrDA5FZzdrE7CRr9jVlzA%253D%253D</t>
  </si>
  <si>
    <t>ESBCN</t>
  </si>
  <si>
    <t>Fos, France</t>
  </si>
  <si>
    <t>dKHcNzDbOZ9Dtnh6ge5BoQ%253D%253D</t>
  </si>
  <si>
    <t>FRFOS</t>
  </si>
  <si>
    <t>Genoa, Italy</t>
  </si>
  <si>
    <t>jtn%252FJL5NiD%252F8ntqyzuPPGA%253D%253D</t>
  </si>
  <si>
    <t>ITGOA</t>
  </si>
  <si>
    <t>Haifa, Israel</t>
  </si>
  <si>
    <t>HYgAi5Ck8xZ5KeHw3%252BPJ4w%253D%253D</t>
  </si>
  <si>
    <t>ILHFA</t>
  </si>
  <si>
    <t>Marsaxlokk, Malta</t>
  </si>
  <si>
    <t>MuQQwgW1z0JVf4uf0j6Oqg%253D%253D</t>
  </si>
  <si>
    <t>MTMLA</t>
  </si>
  <si>
    <t>Valencia, Spain</t>
  </si>
  <si>
    <t>PUkWEcWweA49bc%252BQ%252FHA6bw%253D%253D</t>
  </si>
  <si>
    <t>ESVLC</t>
  </si>
  <si>
    <t>Baltimore, United States</t>
  </si>
  <si>
    <t>YjuKbjI%252Bq7IWsdrn85QJFg%253D%253D</t>
  </si>
  <si>
    <t>icy3RH1%252FNC3v89w7jGH%252BHw%253D%253D</t>
  </si>
  <si>
    <t>USBAL</t>
  </si>
  <si>
    <t>Boston, United States</t>
  </si>
  <si>
    <t>w65W3PAJuX2Ql0Gf8Ckkdw%253D%253D</t>
  </si>
  <si>
    <t>2iP9zD499VuttWpU6DlwqA%253D%253D</t>
  </si>
  <si>
    <t>USBOS</t>
  </si>
  <si>
    <t>Charleston, United States</t>
  </si>
  <si>
    <t>Zu1xS7u1nIvO%252F%252BdbnZfrLw%253D%253D</t>
  </si>
  <si>
    <t>USCHS</t>
  </si>
  <si>
    <t>Halifax, Canada</t>
  </si>
  <si>
    <t>qDDfDCXRiD1XxWo9RKNRvw%253D%253D</t>
  </si>
  <si>
    <t>ngG2%252FjG4NlHb5ZGdAHVP4g%253D%253D</t>
  </si>
  <si>
    <t>CAHAL</t>
  </si>
  <si>
    <t>Houston, United States</t>
  </si>
  <si>
    <t>Ojtfn48UntAUGFcYEHOQXw%253D%253D</t>
  </si>
  <si>
    <t>USHOU</t>
  </si>
  <si>
    <t>Jacksonville, United States</t>
  </si>
  <si>
    <t>hX%252BN2Ckil03aCw6I%252Fj%252BhqQ%253D%253D</t>
  </si>
  <si>
    <t>USJAX</t>
  </si>
  <si>
    <t>Long Beach, United States</t>
  </si>
  <si>
    <t>S9X4TMR2ncdJuyYiyqnbig%253D%253D</t>
  </si>
  <si>
    <t>uCIAr5lckiHGmGe0VyVVkw%253D%253D</t>
  </si>
  <si>
    <t>USLGB</t>
  </si>
  <si>
    <t>Los Angeles, United States</t>
  </si>
  <si>
    <t>iwosRMDzfh0L9To05g8QbQ%253D%253D</t>
  </si>
  <si>
    <t>USLAX</t>
  </si>
  <si>
    <t>Miami, United States</t>
  </si>
  <si>
    <t>a%252FOmJwLVD96QjgI0bil38g%253D%253D</t>
  </si>
  <si>
    <t>USMIA</t>
  </si>
  <si>
    <t>Mobile, United States</t>
  </si>
  <si>
    <t>4TE0NPj%252FgeE5RV4%252BewncrA%253D%253D</t>
  </si>
  <si>
    <t>USMOB</t>
  </si>
  <si>
    <t>New Orleans, United States</t>
  </si>
  <si>
    <t>goXxbDjGMTl06LgZ5JeMog%253D%253D</t>
  </si>
  <si>
    <t>USMSY</t>
  </si>
  <si>
    <t>New York, United States</t>
  </si>
  <si>
    <t>SMCumFXp2sN6a1GTH%252F2okQ%253D%253D</t>
  </si>
  <si>
    <t>USNYC</t>
  </si>
  <si>
    <t>Norfolk, United States</t>
  </si>
  <si>
    <t>cAnYm%252BlgreuucmkKS1j%252FSA%253D%253D</t>
  </si>
  <si>
    <t>USORF</t>
  </si>
  <si>
    <t>Oakland, United States</t>
  </si>
  <si>
    <t>jKWaG9ogSc3U4QWE2A7Zrw%253D%253D</t>
  </si>
  <si>
    <t>USOAK</t>
  </si>
  <si>
    <t>Prince Rupert, Canada</t>
  </si>
  <si>
    <t>QFhu1BLIxJ9f0F5WJSPNxA%253D%253D</t>
  </si>
  <si>
    <t>CAPRR</t>
  </si>
  <si>
    <t>Savannah, United States</t>
  </si>
  <si>
    <t>xoMpcfJkUafAN36aydRszQ%253D%253D</t>
  </si>
  <si>
    <t>USSAV</t>
  </si>
  <si>
    <t>Seattle, United States</t>
  </si>
  <si>
    <t>2FE9O8qTioozoj95jpvnWg%253D%253D</t>
  </si>
  <si>
    <t>USSEA</t>
  </si>
  <si>
    <t>Tacoma, United States</t>
  </si>
  <si>
    <t>zGTbVBH1MOiZD2ygklzJNQ%253D%253D</t>
  </si>
  <si>
    <t>USTIW</t>
  </si>
  <si>
    <t>Tampa, United States</t>
  </si>
  <si>
    <t>HD1LpsnlSXaQuev%252BoYfpBA%253D%253D</t>
  </si>
  <si>
    <t>USTPA</t>
  </si>
  <si>
    <t>Vancouver, Canada</t>
  </si>
  <si>
    <t>1kkaoo2GPISaBR1Jx7dWKw%253D%253D</t>
  </si>
  <si>
    <t>CAVAN</t>
  </si>
  <si>
    <t>Singapore, Singapore</t>
  </si>
  <si>
    <t>YqmvNL3mswajMEBG16hT2A%253D%253D</t>
  </si>
  <si>
    <t>NFL9cTznAaa4CBynkPs%252B6Q%253D%253D</t>
  </si>
  <si>
    <t>SGSIN</t>
  </si>
  <si>
    <t>Da Nang, Vietnam</t>
  </si>
  <si>
    <t>Chittagong, Bangladesh</t>
  </si>
  <si>
    <t>yVBoEFjNBVgvNDjoWtXxxg%253D%253D</t>
  </si>
  <si>
    <t>DI5vO7b5NtdrSNEEfjw64w%253D%253D</t>
  </si>
  <si>
    <t>VNDAD</t>
  </si>
  <si>
    <t>BDCGP</t>
  </si>
  <si>
    <t>Port Kelang N, Malaysia</t>
  </si>
  <si>
    <t>zbLe6PFOMSPvN53Ju2WJ0g%253D%253D</t>
  </si>
  <si>
    <t>MYLPK</t>
  </si>
  <si>
    <t>Dalian, China</t>
  </si>
  <si>
    <t>Abu Dhabi, United Arab Emirates</t>
  </si>
  <si>
    <t>ngJ9pZF1dUQkTJV1KSwmlw%253D%253D</t>
  </si>
  <si>
    <t>sTVkcag1cAAf6Mup9MbfBg%253D%253D</t>
  </si>
  <si>
    <t>CNDLC</t>
  </si>
  <si>
    <t>AEAUH</t>
  </si>
  <si>
    <t>Hamad, Qatar</t>
  </si>
  <si>
    <t>iAuVbXy71vHyfb6nZHAPCw%253D%253D</t>
  </si>
  <si>
    <t>QAHMD</t>
  </si>
  <si>
    <t>Jubail, Saudi Arabia</t>
  </si>
  <si>
    <t>ngDEHfZ1WIj%252B6PC52gmG4Q%253D%253D</t>
  </si>
  <si>
    <t>SAJUB</t>
  </si>
  <si>
    <t>Khor Fakkan, United Arab Emirates</t>
  </si>
  <si>
    <t>D9cQvowrUy5VN0K7vJoQFw%253D%253D</t>
  </si>
  <si>
    <t>AEKLF</t>
  </si>
  <si>
    <t>Sohar, Oman</t>
  </si>
  <si>
    <t>PjIrdlyHwBXMSPrtSyyz8g%253D%253D</t>
  </si>
  <si>
    <t>OMSOH</t>
  </si>
  <si>
    <t>Ensenada, Mexico</t>
  </si>
  <si>
    <t>YGOvH1jTj7%252BVzFoE3fl2Yw%253D%253D</t>
  </si>
  <si>
    <t>gR2po4rysa6ynGuDnPrqMA%253D%253D</t>
  </si>
  <si>
    <t>MXESE</t>
  </si>
  <si>
    <t>Lazaro Cardenas, Mexico</t>
  </si>
  <si>
    <t>RsAsK60We34Oymz8lfTpWQ%253D%253D</t>
  </si>
  <si>
    <t>MXLZC</t>
  </si>
  <si>
    <t>Manzanillo, Mexico</t>
  </si>
  <si>
    <t>2Hr1qa96pxp8yXraB9fpQw%253D%253D</t>
  </si>
  <si>
    <t>MXZLO</t>
  </si>
  <si>
    <t>Bremerhaven, Germany</t>
  </si>
  <si>
    <t>kXGsdiUBlc2J86kP7W9%252FVw%253D%253D</t>
  </si>
  <si>
    <t>DEBRV</t>
  </si>
  <si>
    <t>London Gateway, United Kingdom</t>
  </si>
  <si>
    <t>y%252F6eSrQULERKfsNFRdZQ0w%253D%253D</t>
  </si>
  <si>
    <t>GBLGP</t>
  </si>
  <si>
    <t>Pipavav, India</t>
  </si>
  <si>
    <t>xri7LWzSCI3%252BaaGA0hKqww%253D%253D</t>
  </si>
  <si>
    <t>INPAV</t>
  </si>
  <si>
    <t>Ambarli Istanbul, Turkey</t>
  </si>
  <si>
    <t>CWZLcxB%252BS05YPBCXZF1ZGg%253D%253D</t>
  </si>
  <si>
    <t>OWZDyLmv3WGtVP7oMbti8g%253D%253D</t>
  </si>
  <si>
    <t>TRIST</t>
  </si>
  <si>
    <t>Damietta, Egypt</t>
  </si>
  <si>
    <t>coiwBN9N3PlN5QbECFffOw%253D%253D</t>
  </si>
  <si>
    <t>EGDAM</t>
  </si>
  <si>
    <t>Mersin, Turkey</t>
  </si>
  <si>
    <t>bLehbb2tsb1N2j4PszAtfg%253D%253D</t>
  </si>
  <si>
    <t>TRMER</t>
  </si>
  <si>
    <t>Tekirdag, Turkey</t>
  </si>
  <si>
    <t>d4p5ozHtL5vGoJAs4u01Vg%253D%253D</t>
  </si>
  <si>
    <t>TRTEK</t>
  </si>
  <si>
    <t>Yarimca Izmit, Turkey</t>
  </si>
  <si>
    <t>mE6%252Fp78%252FYp93kfv62oNFWQ%253D%253D</t>
  </si>
  <si>
    <t>TRYAR</t>
  </si>
  <si>
    <t>Hong Kong, Hong Kong</t>
  </si>
  <si>
    <t>vMzSod%252BtWz6%252F7wRCS6eQNA%253D%253D</t>
  </si>
  <si>
    <t>Sf%252FJBtcqkoI65Fe6qmiQsA%253D%253D</t>
  </si>
  <si>
    <t>HKHKG</t>
  </si>
  <si>
    <t>Kaohsiung, Taiwan</t>
  </si>
  <si>
    <t>Vjyg7XTarHY%252B0lksvtw%252F7A%253D%253D</t>
  </si>
  <si>
    <t>Ha4nmfNgPHgKMiB9XpJc%252Bg%253D%253D</t>
  </si>
  <si>
    <t>TWKHH</t>
  </si>
  <si>
    <t>Keelung, Taiwan</t>
  </si>
  <si>
    <t>EWaAc7M3toZwWcOa4oi3NA%253D%253D</t>
  </si>
  <si>
    <t>TWKEL</t>
  </si>
  <si>
    <t>Taichung, Taiwan</t>
  </si>
  <si>
    <t>ff8VYnnCdFQRVUSWGUZoBA%253D%253D</t>
  </si>
  <si>
    <t>TWTXG</t>
  </si>
  <si>
    <t>Bangkok, Thailand</t>
  </si>
  <si>
    <t>OYwFmAgnYZyQLCT3yCs2CA%253D%253D</t>
  </si>
  <si>
    <t>THBKK</t>
  </si>
  <si>
    <t>Cagayan, Philippines</t>
  </si>
  <si>
    <t>gv0E5TKMKSNdTR1sd7FM4A%253D%253D</t>
  </si>
  <si>
    <t>1Cobu6af7PO5k9VHay4j%252Bg%253D%253D</t>
  </si>
  <si>
    <t>PHCGY</t>
  </si>
  <si>
    <t>Chu Lai, Vietnam</t>
  </si>
  <si>
    <t>ZiB9qjAUBglOv8YWt1vesA%253D%253D</t>
  </si>
  <si>
    <t>VNC8Q</t>
  </si>
  <si>
    <t>Davao, Philippines</t>
  </si>
  <si>
    <t>HztwdcvWfyObYMSuS7M4Vg%253D%253D</t>
  </si>
  <si>
    <t>PHDVO</t>
  </si>
  <si>
    <t>Dong Nai, Vietnam</t>
  </si>
  <si>
    <t>rTBDz0ZlCGUJL5mkze3Rqw%253D%253D</t>
  </si>
  <si>
    <t>VNDNA</t>
  </si>
  <si>
    <t>Haiphong, Vietnam</t>
  </si>
  <si>
    <t>fJ71EUPe75vnyZvJ9cGHxg%253D%253D</t>
  </si>
  <si>
    <t>VNHPH</t>
  </si>
  <si>
    <t>Ho Chi Minh, Vietnam</t>
  </si>
  <si>
    <t>CVigZ03WwsIi3M4cUzX1IA%253D%253D</t>
  </si>
  <si>
    <t>VNSGN</t>
  </si>
  <si>
    <t>Jakarta, Indonesia</t>
  </si>
  <si>
    <t>ffFYXkaqrPSmqfQq9H1AYQ%253D%253D</t>
  </si>
  <si>
    <t>IDJKT</t>
  </si>
  <si>
    <t>Laem Chabang, Thailand</t>
  </si>
  <si>
    <t>OxmUlXWM%252FAUYd%252FPp1zlwDA%253D%253D</t>
  </si>
  <si>
    <t>THLCH</t>
  </si>
  <si>
    <t>Manila N, Philippines</t>
  </si>
  <si>
    <t>uYYEeJiaA%252BEFqhyuOo%252FKJg%253D%253D</t>
  </si>
  <si>
    <t>PHMNN</t>
  </si>
  <si>
    <t>Manila S, Philippines</t>
  </si>
  <si>
    <t>%252Bnj61657Gm95NjZ5JyQVuQ%253D%253D</t>
  </si>
  <si>
    <t>PHMNS</t>
  </si>
  <si>
    <t>Panjang, Indonesia</t>
  </si>
  <si>
    <t>H2xJGYLi7pFRP16eMH8N9Q%253D%253D</t>
  </si>
  <si>
    <t>IDPNJ</t>
  </si>
  <si>
    <t>Pasir Gudang, Malaysia</t>
  </si>
  <si>
    <t>ANDy0tuuXA3bR0I4F4vWhg%253D%253D</t>
  </si>
  <si>
    <t>MYPGU</t>
  </si>
  <si>
    <t>Penang, Malaysia</t>
  </si>
  <si>
    <t>tVaiOFP7i%252Bq6FkaCrH4cPg%253D%253D</t>
  </si>
  <si>
    <t>MYPEN</t>
  </si>
  <si>
    <t>Port Kelang W, Malaysia</t>
  </si>
  <si>
    <t>2WJxBRbU754HNWDDwVsKgQ%253D%253D</t>
  </si>
  <si>
    <t>MYWSP</t>
  </si>
  <si>
    <t>Qui Nhon, Vietnam</t>
  </si>
  <si>
    <t>Ft1Lum0%252BMfaqjqn5TDsZTg%253D%253D</t>
  </si>
  <si>
    <t>VNUIH</t>
  </si>
  <si>
    <t>Semarang, Indonesia</t>
  </si>
  <si>
    <t>aK75BBorW5hPQj8dm2JUBQ%253D%253D</t>
  </si>
  <si>
    <t>IDSRG</t>
  </si>
  <si>
    <t>Sihanoukville, Cambodia</t>
  </si>
  <si>
    <t>EVsBMZX0DHq4aZyn1LHQog%253D%253D</t>
  </si>
  <si>
    <t>KHKOS</t>
  </si>
  <si>
    <t>Surabaya, Indonesia</t>
  </si>
  <si>
    <t>HlaejIbbmrtywbtr93rj1w%253D%253D</t>
  </si>
  <si>
    <t>IDSUB</t>
  </si>
  <si>
    <t>Tanjung Pelepas, Malaysia</t>
  </si>
  <si>
    <t>Zfdwz371n2fV4bpx64twzQ%253D%253D</t>
  </si>
  <si>
    <t>MYTPP</t>
  </si>
  <si>
    <t>Buenaventura, Colombia</t>
  </si>
  <si>
    <t>w5DjD0wJyInHt9f5k%252BKAIg%253D%253D</t>
  </si>
  <si>
    <t>COBUN</t>
  </si>
  <si>
    <t>Chancay, Peru</t>
  </si>
  <si>
    <t>JgklprD%252F4mGNz6t%252FBj7lgA%253D%253D</t>
  </si>
  <si>
    <t>PECHY</t>
  </si>
  <si>
    <t>Guayaquil, Ecuador</t>
  </si>
  <si>
    <t>d8g42nVBikgw%252BWlhTvejKA%253D%253D</t>
  </si>
  <si>
    <t>ECGYE</t>
  </si>
  <si>
    <t>Fuzhou, China</t>
  </si>
  <si>
    <t>IMQ5I2UzMLVpO9yRTsMYKQ%253D%253D</t>
  </si>
  <si>
    <t>CNFOC</t>
  </si>
  <si>
    <t>Karachi KICT, Pakistan</t>
  </si>
  <si>
    <t>niRwhUMqJkuv0cOgUHhYMg%253D%253D</t>
  </si>
  <si>
    <t>PKKCT</t>
  </si>
  <si>
    <t>Karachi PICT, Pakistan</t>
  </si>
  <si>
    <t>o2zJRsP2hGl5Ok2BDjYV8Q%253D%253D</t>
  </si>
  <si>
    <t>PKPCT</t>
  </si>
  <si>
    <t>Taipei, Taiwan</t>
  </si>
  <si>
    <t>QFtYID63Zzy5HiUwd3ofvg%253D%253D</t>
  </si>
  <si>
    <t>TWTPE</t>
  </si>
  <si>
    <t>Kuantan, Malaysia</t>
  </si>
  <si>
    <t>sElXzhuMwsYSldqS3mYmvA%253D%253D</t>
  </si>
  <si>
    <t>MYKUA</t>
  </si>
  <si>
    <t>Subic Bay, Philippines</t>
  </si>
  <si>
    <t>NgJNzQGOQmXkg6spJKsBVA%253D%253D</t>
  </si>
  <si>
    <t>PHSFS</t>
  </si>
  <si>
    <t>Calcutta, India</t>
  </si>
  <si>
    <t>FqEiAjQU25aSb5GLd1Hmbw%253D%253D</t>
  </si>
  <si>
    <t>INCCU</t>
  </si>
  <si>
    <t>Dutch Harbor, United States</t>
  </si>
  <si>
    <t>WiD5D3RLtYOoHkwTVmLu4Q%253D%253D</t>
  </si>
  <si>
    <t>USDUT</t>
  </si>
  <si>
    <t>Honolulu, United States</t>
  </si>
  <si>
    <t>Me8i7WqhRGSLc7pBO1ThGg%253D%253D</t>
  </si>
  <si>
    <t>WWl6QrO5WjTR%252FDgGRRNVdQ%253D%253D</t>
  </si>
  <si>
    <t>USHNL</t>
  </si>
  <si>
    <t>Batam, Indonesia</t>
  </si>
  <si>
    <t>xhpAdrKuPKt1pfytm9rYfA%253D%253D</t>
  </si>
  <si>
    <t>IDBTM</t>
  </si>
  <si>
    <t>Kuching, Malaysia</t>
  </si>
  <si>
    <t>hQIHJFS2xd5k%252BNo0tOpRiw%253D%253D</t>
  </si>
  <si>
    <t>MYKCH</t>
  </si>
  <si>
    <t>Chennai, India</t>
  </si>
  <si>
    <t>vO8vVJPTiBKbz9UAlx1vNQ%253D%253D</t>
  </si>
  <si>
    <t>INMAA</t>
  </si>
  <si>
    <t>Visakhapatnam, India</t>
  </si>
  <si>
    <t>d2wTRiZoBauI%252BF3IC3VR3A%253D%253D</t>
  </si>
  <si>
    <t>INVTZ</t>
  </si>
  <si>
    <t>Adelaide, Australia</t>
  </si>
  <si>
    <t>6RK3GfeJs1BLRKE1a%252FTZDA%253D%253D</t>
  </si>
  <si>
    <t>o04TRiXb4TdXUQEl8c%252F4bQ%253D%253D</t>
  </si>
  <si>
    <t>AUADL</t>
  </si>
  <si>
    <t>Auckland, New Zealand</t>
  </si>
  <si>
    <t>Zupqg2bdKQS8%252FjHc%252BMcJWw%253D%253D</t>
  </si>
  <si>
    <t>DFH7OagiSjBueiPHX%252B3reA%253D%253D</t>
  </si>
  <si>
    <t>NZAKL</t>
  </si>
  <si>
    <t>Bluff, New Zealand</t>
  </si>
  <si>
    <t>CYPp%252BSoqAY29zn8Pndm3Hg%253D%253D</t>
  </si>
  <si>
    <t>NZBLU</t>
  </si>
  <si>
    <t>Brisbane, Australia</t>
  </si>
  <si>
    <t>PFEPD9phugL4OCypgVW00A%253D%253D</t>
  </si>
  <si>
    <t>AUBNE</t>
  </si>
  <si>
    <t>Darwin, Australia</t>
  </si>
  <si>
    <t>71592XvmAQIy10ZBwuxxog%253D%253D</t>
  </si>
  <si>
    <t>AUDRW</t>
  </si>
  <si>
    <t>Fremantle, Australia</t>
  </si>
  <si>
    <t>5QjJF%252F8LiP7PpSlNRNvr5g%253D%253D</t>
  </si>
  <si>
    <t>AUFRE</t>
  </si>
  <si>
    <t>Lyttelton, New Zealand</t>
  </si>
  <si>
    <t>LOy97I7ySk1V2ruo15hS1A%253D%253D</t>
  </si>
  <si>
    <t>NZLYT</t>
  </si>
  <si>
    <t>Melbourne, Australia</t>
  </si>
  <si>
    <t>mQZFjz2xie%252FwP%252FANxkVmnw%253D%253D</t>
  </si>
  <si>
    <t>AUMEL</t>
  </si>
  <si>
    <t>Napier, New Zealand</t>
  </si>
  <si>
    <t>K%252BwNL3dQs96YEwQvVvpwpg%253D%253D</t>
  </si>
  <si>
    <t>NZNPE</t>
  </si>
  <si>
    <t>Nelson, New Zealand</t>
  </si>
  <si>
    <t>48fvWOpihsReGEgR%252BodToA%253D%253D</t>
  </si>
  <si>
    <t>NZNSN</t>
  </si>
  <si>
    <t>Port Chalmers, New Zealand</t>
  </si>
  <si>
    <t>oe3Ta7n3xRvFeNCEWeII%252BQ%253D%253D</t>
  </si>
  <si>
    <t>NZPOE</t>
  </si>
  <si>
    <t>Sydney, Australia</t>
  </si>
  <si>
    <t>A4QQPpJMy7ddG09MWa6Q6Q%253D%253D</t>
  </si>
  <si>
    <t>AUSYD</t>
  </si>
  <si>
    <t>Tauranga, New Zealand</t>
  </si>
  <si>
    <t>%252FSuOJzNzI9dTs1na4ptGQQ%253D%253D</t>
  </si>
  <si>
    <t>NZTRG</t>
  </si>
  <si>
    <t>Timaru, New Zealand</t>
  </si>
  <si>
    <t>VnIwhiG734UVt%252BD5LaLSyg%253D%253D</t>
  </si>
  <si>
    <t>NZTIU</t>
  </si>
  <si>
    <t>Townsville, Australia</t>
  </si>
  <si>
    <t>jwrREb065TpboLLneEXnpA%253D%253D</t>
  </si>
  <si>
    <t>AUTSV</t>
  </si>
  <si>
    <t>Wellington, New Zealand</t>
  </si>
  <si>
    <t>4uFveD%252FpwyhaHgrFDA4FGQ%253D%253D</t>
  </si>
  <si>
    <t>NZWLG</t>
  </si>
  <si>
    <t>Caucedo, Dominican Republic</t>
  </si>
  <si>
    <t>EQLmb4dIJ8CxMITji8BFcQ%253D%253D</t>
  </si>
  <si>
    <t>DOCAU</t>
  </si>
  <si>
    <t>Kingston, Jamaica</t>
  </si>
  <si>
    <t>8z9D70S9%252Fxj0Gvq5lJUySg%253D%253D</t>
  </si>
  <si>
    <t>JMKIN</t>
  </si>
  <si>
    <t>Manzanillo, Panama</t>
  </si>
  <si>
    <t>TWTIzTPI4%252Bkze8iTFrXWyA%253D%253D</t>
  </si>
  <si>
    <t>PAMIT</t>
  </si>
  <si>
    <t>Buenos Aires, Argentina</t>
  </si>
  <si>
    <t>lYenAQRqYjOjlV9SUG4cVA%253D%253D</t>
  </si>
  <si>
    <t>ARBUE</t>
  </si>
  <si>
    <t>Itapoa, Brazil</t>
  </si>
  <si>
    <t>622Ys0R%252BJ4Z%252BD8juMZQ6Fg%253D%253D</t>
  </si>
  <si>
    <t>BRIOA</t>
  </si>
  <si>
    <t>Montevideo, Uruguay</t>
  </si>
  <si>
    <t>VlzD9QGqxfeeIZXA0jiREg%253D%253D</t>
  </si>
  <si>
    <t>UYMVD</t>
  </si>
  <si>
    <t>Navegantes, Brazil</t>
  </si>
  <si>
    <t>b%252FcKrJpkkpmeID6%252Bt0Qv7w%253D%253D</t>
  </si>
  <si>
    <t>BRNVT</t>
  </si>
  <si>
    <t>Paranagua, Brazil</t>
  </si>
  <si>
    <t>Cn7F%252B3BUvEdR6QvWeqCaMQ%253D%253D</t>
  </si>
  <si>
    <t>BRPNG</t>
  </si>
  <si>
    <t>Rio Grande, Brazil</t>
  </si>
  <si>
    <t>ihd4plvRdCifW5N2ysz4wQ%253D%253D</t>
  </si>
  <si>
    <t>BRRIG</t>
  </si>
  <si>
    <t>Rio de Janeiro, Brazil</t>
  </si>
  <si>
    <t>dpuAoFhuEOAhiRLbfljgUw%253D%253D</t>
  </si>
  <si>
    <t>BRRIO</t>
  </si>
  <si>
    <t>La Spezia, Italy</t>
  </si>
  <si>
    <t>ZJ2kOr4rVg1Muf%252B%252FWhudzQ%253D%253D</t>
  </si>
  <si>
    <t>ITSPE</t>
  </si>
  <si>
    <t>Piraeus, Greece</t>
  </si>
  <si>
    <t>Fsb3JrGOw%252Bigs2Sj9TOYRg%253D%253D</t>
  </si>
  <si>
    <t>GRPIR</t>
  </si>
  <si>
    <t>Apra, Guam</t>
  </si>
  <si>
    <t>4H3NVs4kVQAjO9LZcAzH3A%253D%253D</t>
  </si>
  <si>
    <t>KFKcW2AlfY8n68hENgUqcQ%253D%253D</t>
  </si>
  <si>
    <t>GUGUM</t>
  </si>
  <si>
    <t>Honiara, Solomon Islands</t>
  </si>
  <si>
    <t>qpSWZ%252BfChLlqGlFe4fJiNA%253D%253D</t>
  </si>
  <si>
    <t>iEuy19j7DYzMrthSRfBd6A%253D%253D</t>
  </si>
  <si>
    <t>SBHIR</t>
  </si>
  <si>
    <t>Koror, Palau</t>
  </si>
  <si>
    <t>NqDM11f%252BTwxQ1Tcd%252BwYp2g%253D%253D</t>
  </si>
  <si>
    <t>PWROR</t>
  </si>
  <si>
    <t>Kosrae, Federated States of Micronesia</t>
  </si>
  <si>
    <t>en7Unl6dGSA2O7uaHPo6rw%253D%253D</t>
  </si>
  <si>
    <t>FMKSA</t>
  </si>
  <si>
    <t>Lae, Papua New Guinea</t>
  </si>
  <si>
    <t>%252BbIYx2NOpTYNnWb43fB%252Bhg%253D%253D</t>
  </si>
  <si>
    <t>PGLAE</t>
  </si>
  <si>
    <t>Lautoka, Fiji</t>
  </si>
  <si>
    <t>E9OwtaFLQn8gkHYzZeqhFA%253D%253D</t>
  </si>
  <si>
    <t>FJLTK</t>
  </si>
  <si>
    <t>Majuro, Marshall Islands</t>
  </si>
  <si>
    <t>%252BXaB4nNCPBZVZEjAiwGwJg%253D%253D</t>
  </si>
  <si>
    <t>MHMAJ</t>
  </si>
  <si>
    <t>Pohnpei, Federated States of Micronesia</t>
  </si>
  <si>
    <t>UEQTxQ0f4o%252FGn1yqttga%252Bw%253D%253D</t>
  </si>
  <si>
    <t>FMPNI</t>
  </si>
  <si>
    <t>Port Moresby, Papua New Guinea</t>
  </si>
  <si>
    <t>ypYwa%252B%252FJRIlxq1Y%252FpuV%252BWg%253D%253D</t>
  </si>
  <si>
    <t>PGPOM</t>
  </si>
  <si>
    <t>Saipan, Northern Mariana Islands</t>
  </si>
  <si>
    <t>Zl8FqsntpqeQmpVG%252F5zy0A%253D%253D</t>
  </si>
  <si>
    <t>MPSPN</t>
  </si>
  <si>
    <t>Suva, Fiji</t>
  </si>
  <si>
    <t>USTyzVsTHB39fCBr9mWPuQ%253D%253D</t>
  </si>
  <si>
    <t>FJSUV</t>
  </si>
  <si>
    <t>Yap, Federated States of Micronesia</t>
  </si>
  <si>
    <t>2ioFw%252BfbHO5mmHMxAU3y5w%253D%253D</t>
  </si>
  <si>
    <t>FMYAP</t>
  </si>
  <si>
    <t>Cape Town, South Africa</t>
  </si>
  <si>
    <t>PlhL65EGdMDEqAuzDuoXFA%253D%253D</t>
  </si>
  <si>
    <t>lvNGjfh1u3F8DS5kPLxDEQ%253D%253D</t>
  </si>
  <si>
    <t>ZACPT</t>
  </si>
  <si>
    <t>Durban, South Africa</t>
  </si>
  <si>
    <t>u95MZzsr9eG2WvFJUQj%252Ffw%253D%253D</t>
  </si>
  <si>
    <t>ZADUR</t>
  </si>
  <si>
    <t>Batangas, Philippines</t>
  </si>
  <si>
    <t>yJ3a7j97UHDhC%252BTVyucGWQ%253D%253D</t>
  </si>
  <si>
    <t>PHBTG</t>
  </si>
  <si>
    <t>Bintulu, Malaysia</t>
  </si>
  <si>
    <t>ZxBu8Omh9KlosYoEgdr9jg%253D%253D</t>
  </si>
  <si>
    <t>MYBTU</t>
  </si>
  <si>
    <t>Cebu, Philippines</t>
  </si>
  <si>
    <t>FQgMBHVTyMCCz5aOfPcVWA%253D%253D</t>
  </si>
  <si>
    <t>PHCEB</t>
  </si>
  <si>
    <t>Kota Kinabalu, Malaysia</t>
  </si>
  <si>
    <t>ZFKfj4zL8pSL8WoAAzHvaQ%253D%253D</t>
  </si>
  <si>
    <t>MYBKI</t>
  </si>
  <si>
    <t>Muara, Brunei</t>
  </si>
  <si>
    <t>LZ1Fd7WPLO5rnGPnRyPGAg%253D%253D</t>
  </si>
  <si>
    <t>BNMUA</t>
  </si>
  <si>
    <t>Puerto Quetzal, Guatemala</t>
  </si>
  <si>
    <t>Q6G%252BKvP9drcko0ye2rnGNg%253D%253D</t>
  </si>
  <si>
    <t>GTPRQ</t>
  </si>
  <si>
    <t>Callao, Peru</t>
  </si>
  <si>
    <t>EtYPLTKpMGmIcUljWK50TA%253D%253D</t>
  </si>
  <si>
    <t>PECLL</t>
  </si>
  <si>
    <t>Coronel, Chile</t>
  </si>
  <si>
    <t>WHMcUjRMuvHnydyojgj6uA%253D%253D</t>
  </si>
  <si>
    <t>CLCNL</t>
  </si>
  <si>
    <t>Iquique, Chile</t>
  </si>
  <si>
    <t>WtAU%252Fe8Qb1pOrkVzg8IFNA%253D%253D</t>
  </si>
  <si>
    <t>CLIQQ</t>
  </si>
  <si>
    <t>Lirquen, Chile</t>
  </si>
  <si>
    <t>DPteyZpxDJlxDYiRMc54MQ%253D%253D</t>
  </si>
  <si>
    <t>CLLQN</t>
  </si>
  <si>
    <t>Puerto Angamos, Chile</t>
  </si>
  <si>
    <t>9Lm8xfJ1AD%252F4VDNT5RYR7A%253D%253D</t>
  </si>
  <si>
    <t>CLPAG</t>
  </si>
  <si>
    <t>San Antonio, Chile</t>
  </si>
  <si>
    <t>X8GcDe9OXacnotj9q6RhWg%253D%253D</t>
  </si>
  <si>
    <t>CLSAI</t>
  </si>
  <si>
    <t>San Vicente, Chile</t>
  </si>
  <si>
    <t>xECRkDIULW5I1aaQiZxhjg%253D%253D</t>
  </si>
  <si>
    <t>CLSVE</t>
  </si>
  <si>
    <t>Valparaiso, Chile</t>
  </si>
  <si>
    <t>IPCjkCoDY0M%252F2uWveR9xjw%253D%253D</t>
  </si>
  <si>
    <t>CLVAP</t>
  </si>
  <si>
    <t>Huangpu, China</t>
  </si>
  <si>
    <t>bdu5TKAjogpTs5Yl4g300w%253D%253D</t>
  </si>
  <si>
    <t>Nfupi97Q7g5%252BSThhckCGtg%253D%253D</t>
  </si>
  <si>
    <t>CNNSA</t>
  </si>
  <si>
    <t>Gladstone, Australia</t>
  </si>
  <si>
    <t>cXZMrdyQ3VOyFSdE%252BaOZIg%253D%253D</t>
  </si>
  <si>
    <t>AUGLT</t>
  </si>
  <si>
    <t>Tuticorin, India</t>
  </si>
  <si>
    <t>zJRSsXr0uGqhxfx4mJ7ybA%253D%253D</t>
  </si>
  <si>
    <t>INTUT</t>
  </si>
  <si>
    <t>Kimbe, Papua New Guinea</t>
  </si>
  <si>
    <t>VjSAKSuqQeR6ANyhrYXL7Q%253D%253D</t>
  </si>
  <si>
    <t>PGKIM</t>
  </si>
  <si>
    <t>Madang, Papua New Guinea</t>
  </si>
  <si>
    <t>JHUhtT77bMNrakOo8aH3%252FA%253D%253D</t>
  </si>
  <si>
    <t>PGMAG</t>
  </si>
  <si>
    <t>Noumea, New Caledonia</t>
  </si>
  <si>
    <t>YaXj2qtbqhlSv1mzpAL34A%253D%253D</t>
  </si>
  <si>
    <t>NCNOU</t>
  </si>
  <si>
    <t>Rabaul, Papua New Guinea</t>
  </si>
  <si>
    <t>%252Buj0WY4BIwt%252BBDTca8uCfw%253D%253D</t>
  </si>
  <si>
    <t>PGRAB</t>
  </si>
  <si>
    <t>Dili, Timor-Leste</t>
  </si>
  <si>
    <t>FUumBpmMUi7VWmewKS8u3w%253D%253D</t>
  </si>
  <si>
    <t>TLDIL</t>
  </si>
  <si>
    <t>Karachi SAPT, Pakistan</t>
  </si>
  <si>
    <t>rpsWXwp02PZpkDOO0TvrkA%253D%253D</t>
  </si>
  <si>
    <t>PKSAP</t>
  </si>
  <si>
    <t>Kattupalli, India</t>
  </si>
  <si>
    <t>fcBLhIhFlg0egkwgbVqfuA%253D%253D</t>
  </si>
  <si>
    <t>INKAT</t>
  </si>
  <si>
    <t>Lianyungang, China</t>
  </si>
  <si>
    <t>St Petersburg, Russia</t>
  </si>
  <si>
    <t>VKFjVnvddQPZqnPPLjwhPA%253D%253D</t>
  </si>
  <si>
    <t>T%252FZH9vP3IKjVGd9%252B16d1gw%253D%253D</t>
  </si>
  <si>
    <t>CNLYG</t>
  </si>
  <si>
    <t>RULED</t>
  </si>
  <si>
    <t>Nansha, China</t>
  </si>
  <si>
    <t>huvKGL%252B7Fm4wTC3ZfIhHgw%253D%253D</t>
  </si>
  <si>
    <t>Bahrain, Bahrain</t>
  </si>
  <si>
    <t>b0UDA24jf5MtBiYSmBA6kA%253D%253D</t>
  </si>
  <si>
    <t>BHBAH</t>
  </si>
  <si>
    <t>Umm Qasr, Iraq</t>
  </si>
  <si>
    <t>hkVmLYkcGcWBxoYyEouLSg%253D%253D</t>
  </si>
  <si>
    <t>IQUQR</t>
  </si>
  <si>
    <t>Dar Es Salaam, Tanzania</t>
  </si>
  <si>
    <t>ukOtZfiDRcbPsGuECivTcg%253D%253D</t>
  </si>
  <si>
    <t>Y6Ds6Vz9%252B77grs71XHIolA%253D%253D</t>
  </si>
  <si>
    <t>TZDAR</t>
  </si>
  <si>
    <t>Lamu, Kenya</t>
  </si>
  <si>
    <t>LlsRIDCo1RkwGGqNYocOyA%253D%253D</t>
  </si>
  <si>
    <t>KELAU</t>
  </si>
  <si>
    <t>Mombasa, Kenya</t>
  </si>
  <si>
    <t>Ox%252BalV3lY9wwJSuwc0t6mA%253D%253D</t>
  </si>
  <si>
    <t>KEMBA</t>
  </si>
  <si>
    <t>Cochin, India</t>
  </si>
  <si>
    <t>J0kawAoBkKCfjRqLXGaZ6g%253D%253D</t>
  </si>
  <si>
    <t>INCOK</t>
  </si>
  <si>
    <t>Gangavaram, India</t>
  </si>
  <si>
    <t>Rgk0L2wBlImNbgRyui0ojA%253D%253D</t>
  </si>
  <si>
    <t>INGGV</t>
  </si>
  <si>
    <t>Mongla, Bangladesh</t>
  </si>
  <si>
    <t>COtLTdzpUUoBr%252B6aFLlMFQ%253D%253D</t>
  </si>
  <si>
    <t>BDMGL</t>
  </si>
  <si>
    <t>Alexandria, Egypt</t>
  </si>
  <si>
    <t>8UZt1A6fmzRdQDqCsc6Xnw%253D%253D</t>
  </si>
  <si>
    <t>EGALY</t>
  </si>
  <si>
    <t>Aliaga Izmir, Turkey</t>
  </si>
  <si>
    <t>PCpzGHJwheo5x9hrTf%252FtNg%253D%253D</t>
  </si>
  <si>
    <t>TRALI</t>
  </si>
  <si>
    <t>Derince, Turkey</t>
  </si>
  <si>
    <t>GQUP31MkxSrDx8CJFvrnLA%253D%253D</t>
  </si>
  <si>
    <t>TRDRC</t>
  </si>
  <si>
    <t>El Dekheila, Egypt</t>
  </si>
  <si>
    <t>238evY4dnbosZSyhdCOjNA%253D%253D</t>
  </si>
  <si>
    <t>EGEDK</t>
  </si>
  <si>
    <t>Gemlik, Turkey</t>
  </si>
  <si>
    <t>gVY%252Bw2DNjAyN6j7I9iLoYA%253D%253D</t>
  </si>
  <si>
    <t>TRGEM</t>
  </si>
  <si>
    <t>Gioia Tauro, Italy</t>
  </si>
  <si>
    <t>u4uQTv8uhq8bo8GdhoDhbw%253D%253D</t>
  </si>
  <si>
    <t>ITGIT</t>
  </si>
  <si>
    <t>Aqaba, Jordan</t>
  </si>
  <si>
    <t>mXVU6ay%252Bpyu0gT8nseS8oQ%253D%253D</t>
  </si>
  <si>
    <t>B8CCxPgTyTKHS6UWEi7E0Q%253D%253D</t>
  </si>
  <si>
    <t>JOAQJ</t>
  </si>
  <si>
    <t>Djibouti, Djibouti</t>
  </si>
  <si>
    <t>yX7lraUKgIz0E38qoj%252BhZw%253D%253D</t>
  </si>
  <si>
    <t>DJJIB</t>
  </si>
  <si>
    <t>Jeddah, Saudi Arabia</t>
  </si>
  <si>
    <t>A8b%252BKvd%252FrH3knmwPYJlW9A%253D%253D</t>
  </si>
  <si>
    <t>SAJED</t>
  </si>
  <si>
    <t>Sokhna, Egypt</t>
  </si>
  <si>
    <t>p980kImhxnwCsgPmmr5MAw%253D%253D</t>
  </si>
  <si>
    <t>EGSOK</t>
  </si>
  <si>
    <t>Makassar, Indonesia</t>
  </si>
  <si>
    <t>%252Bq3Iw%252BUbJrj%252BnQ%252Bi29yE6w%253D%253D</t>
  </si>
  <si>
    <t>IDMAK</t>
  </si>
  <si>
    <t>Abidjan, Côte d'Ivoire</t>
  </si>
  <si>
    <t>s0xaaFJc3JAE8CKxCDc0Rg%253D%253D</t>
  </si>
  <si>
    <t>d4cKFtsNQdHrm3NULzwm1w%253D%253D</t>
  </si>
  <si>
    <t>CIABJ</t>
  </si>
  <si>
    <t>Apapa Lagos, Nigeria</t>
  </si>
  <si>
    <t>8G7BjW7ArfeeS8WOnylf6w%253D%253D</t>
  </si>
  <si>
    <t>NGAPP</t>
  </si>
  <si>
    <t>Cotonou, Benin</t>
  </si>
  <si>
    <t>c8ODCCT3k9ggnHlF2uhOJA%253D%253D</t>
  </si>
  <si>
    <t>BJCOO</t>
  </si>
  <si>
    <t>Kribi, Cameroon</t>
  </si>
  <si>
    <t>skRs8ym%252Bha6E2WJQ9KwAiw%253D%253D</t>
  </si>
  <si>
    <t>CMKBI</t>
  </si>
  <si>
    <t>Lekki Lagos, Nigeria</t>
  </si>
  <si>
    <t>TC4Ef3p8OZ2rAAK11aiH6g%253D%253D</t>
  </si>
  <si>
    <t>NGLKK</t>
  </si>
  <si>
    <t>Lobito, Angola</t>
  </si>
  <si>
    <t>gSVwIW2nu6AfD1Is%252F96Kaw%253D%253D</t>
  </si>
  <si>
    <t>AOLOB</t>
  </si>
  <si>
    <t>Lome, Togo</t>
  </si>
  <si>
    <t>cGpn%252FuTCpMqdA75HZDXBnw%253D%253D</t>
  </si>
  <si>
    <t>TGLFW</t>
  </si>
  <si>
    <t>Luanda Sogester, Angola</t>
  </si>
  <si>
    <t>jQxdbQ0sqG20IFKSJIXkww%253D%253D</t>
  </si>
  <si>
    <t>AOLAD</t>
  </si>
  <si>
    <t>Onne, Nigeria</t>
  </si>
  <si>
    <t>IedDKaIV0r6DLACDi59K6w%253D%253D</t>
  </si>
  <si>
    <t>NGONN</t>
  </si>
  <si>
    <t>Pointe Noire, Congo</t>
  </si>
  <si>
    <t>gMaWZtMygUlEwJuqZRv9Rw%253D%253D</t>
  </si>
  <si>
    <t>CGPNR</t>
  </si>
  <si>
    <t>Tema, Ghana</t>
  </si>
  <si>
    <t>kB%252BdZmqU8TS1XETJO7LmbQ%253D%253D</t>
  </si>
  <si>
    <t>GHTEM</t>
  </si>
  <si>
    <t>Tincan Lagos, Nigeria</t>
  </si>
  <si>
    <t>3CzA7a5dzMLJOaw6PQ9pNQ%253D%253D</t>
  </si>
  <si>
    <t>NGTIN</t>
  </si>
  <si>
    <t>Walvis Bay, Namibia</t>
  </si>
  <si>
    <t>9U7y0CJdTi9S7YIMqhBSxA%253D%253D</t>
  </si>
  <si>
    <t>NAWVB</t>
  </si>
  <si>
    <t>Ningbo, China</t>
  </si>
  <si>
    <t>IWsG%252BSSF6iojvpfUPa6XTQ%253D%253D</t>
  </si>
  <si>
    <t>CNNGB</t>
  </si>
  <si>
    <t>Cristobal, Panama</t>
  </si>
  <si>
    <t>kDVLXBnVkwCQrqTCAa%252F%252Fdg%253D%253D</t>
  </si>
  <si>
    <t>PACTB</t>
  </si>
  <si>
    <t>Port Louis, Mauritius</t>
  </si>
  <si>
    <t>6BjndjiYHSKBwyfCW%252FcfbA%253D%253D</t>
  </si>
  <si>
    <t>MUPLU</t>
  </si>
  <si>
    <t>Pecem, Brazil</t>
  </si>
  <si>
    <t>6L3BbdrIZvD0Qtm9c1Znvw%253D%253D</t>
  </si>
  <si>
    <t>BRPEC</t>
  </si>
  <si>
    <t>Salvador, Brazil</t>
  </si>
  <si>
    <t>aP7QG8c0mFIiygW4uAIoLA%253D%253D</t>
  </si>
  <si>
    <t>BRSSA</t>
  </si>
  <si>
    <t>Suape, Brazil</t>
  </si>
  <si>
    <t>YoYs0dBt10qa%252BFE9ul2pvw%253D%253D</t>
  </si>
  <si>
    <t>BRSUA</t>
  </si>
  <si>
    <t>Aarhus, Denmark</t>
  </si>
  <si>
    <t>mwLceWEczdHjzsoZ81R%252FlA%253D%253D</t>
  </si>
  <si>
    <t>DKAAR</t>
  </si>
  <si>
    <t>Dunkirk, France</t>
  </si>
  <si>
    <t>m2LM3oRxgKelpHI%252BOt2BpA%253D%253D</t>
  </si>
  <si>
    <t>FRDKK</t>
  </si>
  <si>
    <t>Gothenburg, Sweden</t>
  </si>
  <si>
    <t>L2vVS2NA3XJTfy%252Bzyr7i7w%253D%253D</t>
  </si>
  <si>
    <t>SEGOT</t>
  </si>
  <si>
    <t>Sines, Portugal</t>
  </si>
  <si>
    <t>zq9%252FijeFwythLxE7XUgv7A%253D%253D</t>
  </si>
  <si>
    <t>PTSIE</t>
  </si>
  <si>
    <t>Southampton, United Kingdom</t>
  </si>
  <si>
    <t>B%252FG9%252BpFYKLtOyAa452pBlQ%253D%253D</t>
  </si>
  <si>
    <t>GBSOU</t>
  </si>
  <si>
    <t>Wilhelmshaven, Germany</t>
  </si>
  <si>
    <t>JkFUy4Alh7%252B%252FxeF2hUdVUw%253D%253D</t>
  </si>
  <si>
    <t>DEWVN</t>
  </si>
  <si>
    <t>Haldia, India</t>
  </si>
  <si>
    <t>CQohoMiaNrOI0c8LewUlHQ%253D%253D</t>
  </si>
  <si>
    <t>INHAL</t>
  </si>
  <si>
    <t>Hazira, India</t>
  </si>
  <si>
    <t>vP8zln9iVy%252FrG9u9qiknFA%253D%253D</t>
  </si>
  <si>
    <t>INHZR</t>
  </si>
  <si>
    <t>Beirut, Lebanon</t>
  </si>
  <si>
    <t>8idg1BzLUOfvjKYfU7xSuA%253D%253D</t>
  </si>
  <si>
    <t>LBBEY</t>
  </si>
  <si>
    <t>Koper, Slovenia</t>
  </si>
  <si>
    <t>ze98pM2WES%252B2CvfdjKQc3g%253D%253D</t>
  </si>
  <si>
    <t>SIKOP</t>
  </si>
  <si>
    <t>Novorossiysk, Russia</t>
  </si>
  <si>
    <t>MmR%252BVr7P8VwdE9cXHcRoVA%253D%253D</t>
  </si>
  <si>
    <t>r8vdJELtQ6mqgPEUMkhs6w%253D%253D</t>
  </si>
  <si>
    <t>RUNVS</t>
  </si>
  <si>
    <t>Port Said East, Egypt</t>
  </si>
  <si>
    <t>dY3UuGWCahDzTcck6Orr3w%253D%253D</t>
  </si>
  <si>
    <t>EGPSE</t>
  </si>
  <si>
    <t>Rijeka, Croatia</t>
  </si>
  <si>
    <t>HyUs%252FTR4m4RdK%252Bx5Y8pVSw%253D%253D</t>
  </si>
  <si>
    <t>HRRJK</t>
  </si>
  <si>
    <t>Tangier, Morocco</t>
  </si>
  <si>
    <t>rk0KCe%252FtzbPL9cNUE8kPyA%253D%253D</t>
  </si>
  <si>
    <t>iMsy5ywB2Lbz5jaXKHE%252BYg%253D%253D</t>
  </si>
  <si>
    <t>MATNG</t>
  </si>
  <si>
    <t>Trieste, Italy</t>
  </si>
  <si>
    <t>w3YsdLEIMBH1cLba3uf9gQ%253D%253D</t>
  </si>
  <si>
    <t>ITTRS</t>
  </si>
  <si>
    <t>Tripoli, Lebanon</t>
  </si>
  <si>
    <t>FdkkIgYZT7wcs%252Fj5fFnokw%253D%253D</t>
  </si>
  <si>
    <t>LBKYE</t>
  </si>
  <si>
    <t>Portland, United States</t>
  </si>
  <si>
    <t>rrpAmWW4I3aW3RHElmPbsQ%253D%253D</t>
  </si>
  <si>
    <t>USPDX</t>
  </si>
  <si>
    <t>Coega Ngqura, South Africa</t>
  </si>
  <si>
    <t>035nboiKJebT1OKJhZFreg%253D%253D</t>
  </si>
  <si>
    <t>ZAZBA</t>
  </si>
  <si>
    <t>Belawan, Indonesia</t>
  </si>
  <si>
    <t>kl0rFmSFvIucluPjtcFGCw%253D%253D</t>
  </si>
  <si>
    <t>IDBLW</t>
  </si>
  <si>
    <t>Yangon, Myanmar</t>
  </si>
  <si>
    <t>Oow219Y%252BoShTWKsSJGO%252BtQ%253D%253D</t>
  </si>
  <si>
    <t>MMRGN</t>
  </si>
  <si>
    <t>Arica, Chile</t>
  </si>
  <si>
    <t>kyfvdi8sDuwJJvpdMgU4sw%253D%253D</t>
  </si>
  <si>
    <t>CLARI</t>
  </si>
  <si>
    <t>Posorja, Ecuador</t>
  </si>
  <si>
    <t>JuYBJN%252F1kwHzDKSy6Etirw%253D%253D</t>
  </si>
  <si>
    <t>ECPSJ</t>
  </si>
  <si>
    <t>Qingdao, China</t>
  </si>
  <si>
    <t>MWZ6BhXSNqkOI0ZGa%252FiNmw%253D%253D</t>
  </si>
  <si>
    <t>CNTAO</t>
  </si>
  <si>
    <t>Apia, Samoa</t>
  </si>
  <si>
    <t>4TgOE4tP0x5%252Bm0A48Xf03g%253D%253D</t>
  </si>
  <si>
    <t>WSAPW</t>
  </si>
  <si>
    <t>Nuku'alofa, Tonga</t>
  </si>
  <si>
    <t>8xS8jZW2By7vEuq0QpBwKw%253D%253D</t>
  </si>
  <si>
    <t>TOTBU</t>
  </si>
  <si>
    <t>Pago Pago, American Samoa</t>
  </si>
  <si>
    <t>I7wqsdfwH7SEZ794D%252BsFCA%253D%253D</t>
  </si>
  <si>
    <t>ASPPG</t>
  </si>
  <si>
    <t>Port Vila, Vanuatu</t>
  </si>
  <si>
    <t>tgHpAypYIL1pS1D%252FuC79tQ%253D%253D</t>
  </si>
  <si>
    <t>VUVLI</t>
  </si>
  <si>
    <t>Shanghai, China</t>
  </si>
  <si>
    <t>lF23NVeEnJTbYGRyP11WaA%253D%253D</t>
  </si>
  <si>
    <t>CNSHA</t>
  </si>
  <si>
    <t>Vado Ligure, Italy</t>
  </si>
  <si>
    <t>nLJDdv0CG4pdqhSapi9i6Q%253D%253D</t>
  </si>
  <si>
    <t>ITVDL</t>
  </si>
  <si>
    <t>Iloilo, Philippines</t>
  </si>
  <si>
    <t>DG86no0WigCOk3oM1AHyHQ%253D%253D</t>
  </si>
  <si>
    <t>PHCTB</t>
  </si>
  <si>
    <t>Shenzhen, China</t>
  </si>
  <si>
    <t>jRrNsSuEnc7RSFFSnVIuRQ%253D%253D</t>
  </si>
  <si>
    <t>CNSZX</t>
  </si>
  <si>
    <t>Taicang, China</t>
  </si>
  <si>
    <t>ZPxtxhVaZJ5ASjrrhzsUew%253D%253D</t>
  </si>
  <si>
    <t>CNTAC</t>
  </si>
  <si>
    <t>Xiamen, China</t>
  </si>
  <si>
    <t>WpPK3zV78YcFQf42f5Zy1Q%253D%253D</t>
  </si>
  <si>
    <t>CNXMN</t>
  </si>
  <si>
    <t>Xingang, China</t>
  </si>
  <si>
    <t>9vlbrGDCGWoPotdwnakh4g%253D%253D</t>
  </si>
  <si>
    <t>CNTXG</t>
  </si>
  <si>
    <t>WEIYUN001 URL</t>
    <phoneticPr fontId="1" type="noConversion"/>
  </si>
  <si>
    <t>HANGYUN365 URL</t>
    <phoneticPr fontId="1" type="noConversion"/>
  </si>
  <si>
    <t>POL CODE</t>
    <phoneticPr fontId="1" type="noConversion"/>
  </si>
  <si>
    <t>POD CODE</t>
    <phoneticPr fontId="1" type="noConversion"/>
  </si>
  <si>
    <t>st</t>
    <phoneticPr fontId="1" type="noConversion"/>
  </si>
  <si>
    <t>de</t>
    <phoneticPr fontId="1" type="noConversion"/>
  </si>
  <si>
    <t>rg</t>
    <phoneticPr fontId="1" type="noConversion"/>
  </si>
  <si>
    <t>rt</t>
    <phoneticPr fontId="1" type="noConversion"/>
  </si>
  <si>
    <t>POL.Fleet</t>
  </si>
  <si>
    <t>Repeat</t>
  </si>
  <si>
    <t>RANGE</t>
  </si>
  <si>
    <t>SUB RANGE</t>
  </si>
  <si>
    <t>Port Code</t>
  </si>
  <si>
    <t>East Asia</t>
  </si>
  <si>
    <t>North China / Korea / Bohai Bay</t>
  </si>
  <si>
    <t>Central China</t>
  </si>
  <si>
    <t>South China / Pearl River Delta</t>
  </si>
  <si>
    <t>Southeast Asia</t>
  </si>
  <si>
    <t>Thailand</t>
  </si>
  <si>
    <t>Central Vietnam</t>
  </si>
  <si>
    <t>Northern Vietnam</t>
  </si>
  <si>
    <t>Southern Vietnam</t>
  </si>
  <si>
    <t>Indonesia</t>
  </si>
  <si>
    <t>POD.Fleet</t>
  </si>
  <si>
    <t>Remark</t>
  </si>
  <si>
    <t>Abu Qir, Egypt</t>
  </si>
  <si>
    <t>Mediterranean</t>
  </si>
  <si>
    <t>SE Med / Libya and Egypt</t>
  </si>
  <si>
    <t>EGAKI</t>
  </si>
  <si>
    <t>XFv3OZ1U%252FjcGnp7kGC6M2w%253D%253D</t>
  </si>
  <si>
    <t>NE Med / Adriatic to Levant</t>
  </si>
  <si>
    <t>Black Sea / Bosphorus / Marmara</t>
  </si>
  <si>
    <t>Iskenderun, Turkey</t>
  </si>
  <si>
    <t>TRISK</t>
  </si>
  <si>
    <t>rRInPlY%252B8%252B%252F9AcpB9ICguQ%253D%253D</t>
  </si>
  <si>
    <t>Port Said West, Egypt</t>
  </si>
  <si>
    <t>EGPSW</t>
  </si>
  <si>
    <t>S8f3wUzoiii1L%252Bcw%252BPUmqA%253D%253D</t>
  </si>
  <si>
    <t>Straits Area</t>
  </si>
  <si>
    <t>Luzon Economic Corridor</t>
  </si>
  <si>
    <t>Southern Philippines</t>
  </si>
  <si>
    <t>Gen Santos, Philippines</t>
  </si>
  <si>
    <t>PHGES</t>
  </si>
  <si>
    <t>2jY2WJwLSPKjrZE%252FOGtYZA%253D%253D</t>
  </si>
  <si>
    <t>Island Nations</t>
  </si>
  <si>
    <t>East Coast of North America</t>
  </si>
  <si>
    <t>United States East Coast</t>
  </si>
  <si>
    <t>US Gulf</t>
  </si>
  <si>
    <t>Newark, United States</t>
  </si>
  <si>
    <t>USEWR</t>
  </si>
  <si>
    <t>z%252B7uRoBkl%252F7ax5ztL4oMnQ%253D%253D</t>
  </si>
  <si>
    <t>Philadelphia, United States</t>
  </si>
  <si>
    <t>USPHL</t>
  </si>
  <si>
    <t>5geMseAXFN%252FWnb%252BGpEdEhg%253D%253D</t>
  </si>
  <si>
    <t>Port Everglades, United States</t>
  </si>
  <si>
    <t>USPEF</t>
  </si>
  <si>
    <t>SFM0p2NKUOUvAHDrzv4ZAA%253D%253D</t>
  </si>
  <si>
    <t>Wilmington, United States</t>
  </si>
  <si>
    <t>USILM</t>
  </si>
  <si>
    <t>Gu1YptCZRmBULQCmIKEh5w%253D%253D</t>
  </si>
  <si>
    <t>NW Med / Gibraltar to Italy</t>
  </si>
  <si>
    <t>Civitavecchia, Italy</t>
  </si>
  <si>
    <t>ITCVV</t>
  </si>
  <si>
    <t>j6APa%252FJxAzPGOSikAZlZiw%253D%253D</t>
  </si>
  <si>
    <t>Central Med / Hub Ports</t>
  </si>
  <si>
    <t>Naples, Italy</t>
  </si>
  <si>
    <t>ITNAP</t>
  </si>
  <si>
    <t>4um6JhaCxMrL3tzI1Ez8OA%253D%253D</t>
  </si>
  <si>
    <t>Salerno, Italy</t>
  </si>
  <si>
    <t>ITSAL</t>
  </si>
  <si>
    <t>RHrEZr5vhUBm9W%252BvNG6OVQ%253D%253D</t>
  </si>
  <si>
    <t>Northern Europe</t>
  </si>
  <si>
    <t>Baltic Sea</t>
  </si>
  <si>
    <t>Europan Northern Range</t>
  </si>
  <si>
    <t>Gaeta, Italy</t>
  </si>
  <si>
    <t>ITGAE</t>
  </si>
  <si>
    <t>2Nj%252F%252B%252BWhaDWdBx7M9HkIVA%253D%253D</t>
  </si>
  <si>
    <t>Liverpool, United Kingdom</t>
  </si>
  <si>
    <t>UK and Ireland</t>
  </si>
  <si>
    <t>GBLIV</t>
  </si>
  <si>
    <t>YDyqVLjt4ZyZA%252BrepTfKag%253D%253D</t>
  </si>
  <si>
    <t>Sagunto, Spain</t>
  </si>
  <si>
    <t>ESSAG</t>
  </si>
  <si>
    <t>yoRBcE8xQ8poPCnZLRMJBQ%253D%253D</t>
  </si>
  <si>
    <t>South West Europe (Atlantic Coast)</t>
  </si>
  <si>
    <t>Taranto, Italy</t>
  </si>
  <si>
    <t>ITTAR</t>
  </si>
  <si>
    <t>TCb%252FRxmxApV0x%252Fx1FX%252FXkA%253D%253D</t>
  </si>
  <si>
    <t>Tilbury, United Kingdom</t>
  </si>
  <si>
    <t>GBTIL</t>
  </si>
  <si>
    <t>12sf9a31g1MRCi5C31aP8Q%253D%253D</t>
  </si>
  <si>
    <t>Aden, Yemen</t>
  </si>
  <si>
    <t>Middle East and African Red Sea Ports</t>
  </si>
  <si>
    <t>Red Sea</t>
  </si>
  <si>
    <t>YEADE</t>
  </si>
  <si>
    <t>wH8hhm1OQ7wJhSQeGs8q2A%253D%253D</t>
  </si>
  <si>
    <t>King Abdullah, Saudi Arabia</t>
  </si>
  <si>
    <t>SAKAC</t>
  </si>
  <si>
    <t>xWwvjQ3SIlCHZJb1boTpaQ%253D%253D</t>
  </si>
  <si>
    <t>West Africa</t>
  </si>
  <si>
    <t>Middle Africa</t>
  </si>
  <si>
    <t>Australia and New Zealand (ANZ)</t>
  </si>
  <si>
    <t>New Zealand</t>
  </si>
  <si>
    <t>Marsden Point, New Zealand</t>
  </si>
  <si>
    <t>NZMAP</t>
  </si>
  <si>
    <t>WQc7Gc7FDvtoI4Z41CHj9w%253D%253D</t>
  </si>
  <si>
    <t>Central America</t>
  </si>
  <si>
    <t>Pacific Coast of Centram</t>
  </si>
  <si>
    <t>Caribbean</t>
  </si>
  <si>
    <t>Atlantic Coast of Centram</t>
  </si>
  <si>
    <t>Taiwan</t>
  </si>
  <si>
    <t>Pacific Islands</t>
  </si>
  <si>
    <t>Luganville, Vanuatu</t>
  </si>
  <si>
    <t>VUSAN</t>
  </si>
  <si>
    <t>4l6NvKgKBdAYQIKrRYk6EQ%253D%253D</t>
  </si>
  <si>
    <t>Tarawa, Kiribati</t>
  </si>
  <si>
    <t>KITRW</t>
  </si>
  <si>
    <t>YogqB8GoVC76re4rYK%252FQ5w%253D%253D</t>
  </si>
  <si>
    <t>Vavouto, New Caledonia</t>
  </si>
  <si>
    <t>NCVAV</t>
  </si>
  <si>
    <t>uZtioAcE8zUkgO9hWnii6A%253D%253D</t>
  </si>
  <si>
    <t>Casablanca, Morocco</t>
  </si>
  <si>
    <t>MACAS</t>
  </si>
  <si>
    <t>3BK0N1dsnJaZhdKgdEeJ7A%253D%253D</t>
  </si>
  <si>
    <t>Misurata, Libya</t>
  </si>
  <si>
    <t>LYMRA</t>
  </si>
  <si>
    <t>QwUwTI9bh6YQlH5fAHhxUw%253D%253D</t>
  </si>
  <si>
    <t>SW Med / Maghreb</t>
  </si>
  <si>
    <t>Southern Africa</t>
  </si>
  <si>
    <t>(South Africa / Cape Region)</t>
  </si>
  <si>
    <t>Gulf of Thailand</t>
  </si>
  <si>
    <t>Eastern Malaysia</t>
  </si>
  <si>
    <t>Cai Lan, Vietnam</t>
  </si>
  <si>
    <t>VNCLN</t>
  </si>
  <si>
    <t>XSxs4lV10Aj%252BK4pxuXR1MQ%253D%253D</t>
  </si>
  <si>
    <t>Songkhla, Thailand</t>
  </si>
  <si>
    <t>THSGZ</t>
  </si>
  <si>
    <t>pVkzn8Jw%252FoA%252FTseoIEv42Q%253D%253D</t>
  </si>
  <si>
    <t>Eastern Bengal Bay / Burma</t>
  </si>
  <si>
    <t>Canadian East Coast</t>
  </si>
  <si>
    <t>North American West Coast</t>
  </si>
  <si>
    <t>Pacific Northwest (Tacoma to Prince Rupert)</t>
  </si>
  <si>
    <t>Middle East Gulf</t>
  </si>
  <si>
    <t>Fujairah, United Arab Emirates</t>
  </si>
  <si>
    <t>AEOFJ</t>
  </si>
  <si>
    <t>ziGqvtI2scTIx8Yjszo4Mg%253D%253D</t>
  </si>
  <si>
    <t>Salalah, Oman</t>
  </si>
  <si>
    <t>OMSLL</t>
  </si>
  <si>
    <t>BPewqurxCVNsKKyaQMVXXA%253D%253D</t>
  </si>
  <si>
    <t>Australia</t>
  </si>
  <si>
    <t>Constanta, Romania</t>
  </si>
  <si>
    <t>ROCND</t>
  </si>
  <si>
    <t>mfQuimu2UNHEELPp3qpwhw%253D%253D</t>
  </si>
  <si>
    <t>Gebze, Turkey</t>
  </si>
  <si>
    <t>TRGEB</t>
  </si>
  <si>
    <t>%252BH8jCnVu%252F18Ap55dlTEwpw%253D%253D</t>
  </si>
  <si>
    <t>Evyap Izmit, Turkey</t>
  </si>
  <si>
    <t>TREYP</t>
  </si>
  <si>
    <t>haFLWtpQkUSDshs1218jvw%253D%253D</t>
  </si>
  <si>
    <t>Odessa, Ukraine</t>
  </si>
  <si>
    <t>UAODS</t>
  </si>
  <si>
    <t>DrnZDc4Z81LrWmdhzNnIqA%253D%253D</t>
  </si>
  <si>
    <t>Vladivostok, Russia</t>
  </si>
  <si>
    <t>Russian Northeast</t>
  </si>
  <si>
    <t>RUVVO</t>
  </si>
  <si>
    <t>s0PPhkNj1tJW6BNaLsGHUw%253D%253D</t>
  </si>
  <si>
    <t>Antofagasta, Chile</t>
  </si>
  <si>
    <t>West Coast of South America (WCSA)</t>
  </si>
  <si>
    <t>Southern WSCA / Chilean coast</t>
  </si>
  <si>
    <t>CLANF</t>
  </si>
  <si>
    <t>SuH%252FtgE4IBuTNNB0asgdVQ%253D%253D</t>
  </si>
  <si>
    <t>Northern WCSA / Equator nations</t>
  </si>
  <si>
    <t>North Coast of South America (NCSA)</t>
  </si>
  <si>
    <t>California, Oregon and Northern Baha</t>
  </si>
  <si>
    <t>East Coast of South America (ECSA)</t>
  </si>
  <si>
    <t>River Plate to Cape Hoorn</t>
  </si>
  <si>
    <t>Imbituba, Brazil</t>
  </si>
  <si>
    <t>Brazilian coast</t>
  </si>
  <si>
    <t>BRIBB</t>
  </si>
  <si>
    <t>r%252Be33L6WYovEJydTXGtEzg%253D%253D</t>
  </si>
  <si>
    <t>Itaguai, Brazil</t>
  </si>
  <si>
    <t>BRIGI</t>
  </si>
  <si>
    <t>5gAs5uaIjcvea7NO1CNntA%253D%253D</t>
  </si>
  <si>
    <t>Vitoria, Brazil</t>
  </si>
  <si>
    <t>BRVIX</t>
  </si>
  <si>
    <t>nMl0o%252BLNRBFsHvQbcykhbg%253D%253D</t>
  </si>
  <si>
    <t>Beira, Mozambique</t>
  </si>
  <si>
    <t>East Africa</t>
  </si>
  <si>
    <t>Tansania and Mosambique</t>
  </si>
  <si>
    <t>MZBEW</t>
  </si>
  <si>
    <t>df0xKFM%252BP%252FdhBbL4zxh1FQ%253D%253D</t>
  </si>
  <si>
    <t>Berbera, Somalia</t>
  </si>
  <si>
    <t>Horn of East Afric</t>
  </si>
  <si>
    <t>SOBBO</t>
  </si>
  <si>
    <t>iR95ibiZVbgZiSw23Cphfw%253D%253D</t>
  </si>
  <si>
    <t>Maputo, Mozambique</t>
  </si>
  <si>
    <t>MZMPM</t>
  </si>
  <si>
    <t>DAsxf3zGXj3ProwuyAsg0A%253D%253D</t>
  </si>
  <si>
    <t>Nacala, Mozambique</t>
  </si>
  <si>
    <t>MZMNC</t>
  </si>
  <si>
    <t>WLLhIS486a7qQzb0e6h1fw%253D%253D</t>
  </si>
  <si>
    <t>Indian Ocean Islands</t>
  </si>
  <si>
    <t>Pointe Des Galets, Reunion</t>
  </si>
  <si>
    <t>REREU</t>
  </si>
  <si>
    <t>bR%252F0HbBRhWZ7BAzpYyyUig%253D%253D</t>
  </si>
  <si>
    <t>Toamasina, Madagascar</t>
  </si>
  <si>
    <t>Madagaskar</t>
  </si>
  <si>
    <t>MGTMM</t>
  </si>
  <si>
    <t>L4LQ9PEfBPFSyfu10igFZw%253D%253D</t>
  </si>
  <si>
    <t>Subcontinent, Delta and Sri Lanka</t>
  </si>
  <si>
    <t>Eastern India</t>
  </si>
  <si>
    <t>Southern India</t>
  </si>
  <si>
    <t>Sri Lanka and Maledives</t>
  </si>
  <si>
    <t>Ennore, India</t>
  </si>
  <si>
    <t>INENR</t>
  </si>
  <si>
    <t>xtNtffa4I8FyeZoWfvNwhA%253D%253D</t>
  </si>
  <si>
    <t>Western India</t>
  </si>
  <si>
    <t>Indian Ocean coast / Jemen to Pakistan</t>
  </si>
  <si>
    <t>Qasim, Pakistan</t>
  </si>
  <si>
    <t>PKBQM</t>
  </si>
  <si>
    <t>P7WuByJEl3ah5Lbvg7%252FlIg%253D%253D</t>
  </si>
  <si>
    <t>Vizhinjam, India</t>
  </si>
  <si>
    <t>INVZJ</t>
  </si>
  <si>
    <t>36m0yOFbR2%252B5OGutbHy%252Fbw%253D%253D</t>
  </si>
  <si>
    <t>PHMNL</t>
  </si>
  <si>
    <t>KRPUS</t>
  </si>
  <si>
    <t>JPYOK</t>
  </si>
  <si>
    <t>JPHTD</t>
  </si>
  <si>
    <t>KRBNP</t>
  </si>
  <si>
    <t>JPSBS</t>
  </si>
  <si>
    <t>JPKIJ</t>
  </si>
  <si>
    <t>JPIMI</t>
  </si>
  <si>
    <t>JPOSA</t>
  </si>
  <si>
    <t>KRPTK</t>
  </si>
  <si>
    <t>RUVYP</t>
  </si>
  <si>
    <t>JPTYO</t>
  </si>
  <si>
    <t>KRKWA</t>
  </si>
  <si>
    <t>KRINC</t>
  </si>
  <si>
    <t>EGPSD</t>
  </si>
  <si>
    <t>JPMOJ</t>
  </si>
  <si>
    <t>JPNGO</t>
  </si>
  <si>
    <t>JPTOY</t>
  </si>
  <si>
    <t>KRCHA</t>
  </si>
  <si>
    <t>AUPHE</t>
  </si>
  <si>
    <t>KylH8Pr1ynXpbeNIUggL%252FQ%253D%253D</t>
    <phoneticPr fontId="1" type="noConversion"/>
  </si>
  <si>
    <t>8pLSQnjoVis1CMK2AzkKQA%253D%253D</t>
    <phoneticPr fontId="1" type="noConversion"/>
  </si>
  <si>
    <t>avzQ%252FxXt%252BKfrK6vIvt59QA%253D%253D</t>
    <phoneticPr fontId="1" type="noConversion"/>
  </si>
  <si>
    <t>RHiB9uH2veEacXFy%252F4no2w%253D%253D</t>
    <phoneticPr fontId="1" type="noConversion"/>
  </si>
  <si>
    <t>SW6Np5wmifEHSbIFC4MFyg%253D%253D</t>
    <phoneticPr fontId="1" type="noConversion"/>
  </si>
  <si>
    <t>hl76VvMJR%252Fhqo%252BAR2bQZUw%253D%253D</t>
    <phoneticPr fontId="1" type="noConversion"/>
  </si>
  <si>
    <t>E414n7wrClEOxW9UQ%252FVHHw%253D%253D</t>
    <phoneticPr fontId="1" type="noConversion"/>
  </si>
  <si>
    <t>KgkQIHXZ%252FEWa2Qb%252Fa4MQtA%253D%253D</t>
  </si>
  <si>
    <t>KgkQIHXZ%252FEWa2Qb%252Fa4MQtA%253D%253D</t>
    <phoneticPr fontId="1" type="noConversion"/>
  </si>
  <si>
    <t>ap</t>
    <phoneticPr fontId="1" type="noConversion"/>
  </si>
  <si>
    <t>jVV2E8J20Ak8Jot1PMDX7g%253D%253D</t>
    <phoneticPr fontId="1" type="noConversion"/>
  </si>
  <si>
    <t>8qgsJj9tmT8zECAL0Nsagw%253D%253D</t>
    <phoneticPr fontId="1" type="noConversion"/>
  </si>
  <si>
    <t>%252BwdvuBlBbZiIH8qQ4%252BBPYA%253D%253D</t>
    <phoneticPr fontId="1" type="noConversion"/>
  </si>
  <si>
    <t>TRQAybxJZwVsM0rUBE%252Fc2g%253D%253D</t>
    <phoneticPr fontId="1" type="noConversion"/>
  </si>
  <si>
    <t>3agd5gO2ul%252BbrT%252BGjjf0BQ%253D%253D</t>
    <phoneticPr fontId="1" type="noConversion"/>
  </si>
  <si>
    <t>Tys%252FnB5n00pQrc%252Fq9NrIJQ%253D%253D</t>
    <phoneticPr fontId="1" type="noConversion"/>
  </si>
  <si>
    <t>EYTjpOznR1kHh1upPcXcZQ%253D%253D</t>
    <phoneticPr fontId="1" type="noConversion"/>
  </si>
  <si>
    <t>rPLnE99TLeh2amlrcypq7A%253D%253D</t>
    <phoneticPr fontId="1" type="noConversion"/>
  </si>
  <si>
    <t>2UAI1gOlHKk%252FIsLwoS%252Fqdw%253D%253D</t>
    <phoneticPr fontId="1" type="noConversion"/>
  </si>
  <si>
    <t>KlSWRjDAkivH8De8U2pqPQ%253D%253D</t>
    <phoneticPr fontId="1" type="noConversion"/>
  </si>
  <si>
    <t>r8vdJELtQ6mqgPEUMkhs6w%253D%253D</t>
    <phoneticPr fontId="1" type="noConversion"/>
  </si>
  <si>
    <t>dY3UuGWCahDzTcck6Orr3w%253D%253D</t>
    <phoneticPr fontId="1" type="noConversion"/>
  </si>
  <si>
    <t>%252B0OYVDebDGU4ZUDCUVe4uQ%253D%253D</t>
    <phoneticPr fontId="1" type="noConversion"/>
  </si>
  <si>
    <t>T9fTu7%252BVgupRHqiIBeaOCg%253D%253D</t>
    <phoneticPr fontId="1" type="noConversion"/>
  </si>
  <si>
    <t>dbUO0BqxQw4h0hqlxw8ukw%253D%253D</t>
    <phoneticPr fontId="1" type="noConversion"/>
  </si>
  <si>
    <t>D7QoB%252FZ15idD5nNWMdB6Mg%253D%253D</t>
    <phoneticPr fontId="1" type="noConversion"/>
  </si>
  <si>
    <t>kygQwF5lrTdK9bWZyqz0yQ%253D%253D</t>
    <phoneticPr fontId="1" type="noConversion"/>
  </si>
  <si>
    <t>KGygUm%252FKajBrK1jas6WHlg%253D%253D</t>
    <phoneticPr fontId="1" type="noConversion"/>
  </si>
  <si>
    <t>o04TRiXb4TdXUQEl8c%252F4bQ%253D%253D</t>
    <phoneticPr fontId="1" type="noConversion"/>
  </si>
  <si>
    <t>EGPSE</t>
    <phoneticPr fontId="1" type="noConversion"/>
  </si>
  <si>
    <t>MYPKG</t>
    <phoneticPr fontId="1" type="noConversion"/>
  </si>
  <si>
    <t>EGPSW</t>
    <phoneticPr fontId="1" type="noConversion"/>
  </si>
  <si>
    <t>S8f3wUzoiii1L%252Bcw%252BPUmqA%253D%253D</t>
    <phoneticPr fontId="1" type="noConversion"/>
  </si>
  <si>
    <t>MYWSP</t>
    <phoneticPr fontId="1" type="noConversion"/>
  </si>
  <si>
    <t>MYLPK</t>
    <phoneticPr fontId="1" type="noConversion"/>
  </si>
  <si>
    <t>zbLe6PFOMSPvN53Ju2WJ0g%253D%253D</t>
    <phoneticPr fontId="1" type="noConversion"/>
  </si>
  <si>
    <t>NFL9cTznAaa4CBynkPs%252B6Q%253D%253D</t>
    <phoneticPr fontId="1" type="noConversion"/>
  </si>
  <si>
    <t>PHMNN</t>
    <phoneticPr fontId="1" type="noConversion"/>
  </si>
  <si>
    <t>PHMNS</t>
    <phoneticPr fontId="1" type="noConversion"/>
  </si>
  <si>
    <t>1Cobu6af7PO5k9VHay4j%252Bg%253D%253D</t>
    <phoneticPr fontId="1" type="noConversion"/>
  </si>
  <si>
    <t>DALIAN(大连)</t>
  </si>
  <si>
    <t>FUZHOU(福州)</t>
  </si>
  <si>
    <t>HONG KONG,CHINA(香港)</t>
  </si>
  <si>
    <t>HUANGPU(广州黄埔)</t>
  </si>
  <si>
    <t>LIANYUNGANG(连云港)</t>
  </si>
  <si>
    <t>NANSHA(广州南沙)</t>
  </si>
  <si>
    <t>NINGBO(宁波)</t>
  </si>
  <si>
    <t>QINGDAO(青岛)</t>
  </si>
  <si>
    <t>SHANGHAI(上海)</t>
  </si>
  <si>
    <t>SHENZHEN(深圳)</t>
  </si>
  <si>
    <t>TAICANG(太仓)</t>
  </si>
  <si>
    <t>TIANJIN(天津)</t>
  </si>
  <si>
    <t>XIAMEN(厦门)</t>
  </si>
  <si>
    <t>BANGKOK(曼谷)</t>
  </si>
  <si>
    <t>LAEM CHABANG(林查班)</t>
  </si>
  <si>
    <t>DANANG(岘港)</t>
  </si>
  <si>
    <t>HAIPHONG(海防)</t>
  </si>
  <si>
    <t>HOCHIMINH(胡志明)</t>
  </si>
  <si>
    <t>QUI NHON(归仁港)</t>
  </si>
  <si>
    <t>CAI MEP,VUNG TAU(盖梅港,头顿)</t>
  </si>
  <si>
    <t>JAKARTA(雅加达)</t>
  </si>
  <si>
    <t>SEMARANG(三宝垄)</t>
  </si>
  <si>
    <t>SURABAYA(泗水)</t>
  </si>
  <si>
    <t>ABU KIR(阿布基尔)</t>
  </si>
  <si>
    <t>地东</t>
  </si>
  <si>
    <t>ALEXANDRIA(亚历山大)</t>
  </si>
  <si>
    <t>ASHDOD(阿什杜德)</t>
  </si>
  <si>
    <t>BEIRUT(贝鲁特)</t>
  </si>
  <si>
    <t>DAMIETTA(达米埃塔)</t>
  </si>
  <si>
    <t>DERINCE(代林杰)</t>
  </si>
  <si>
    <t>EL DEKHEILA(亚历山大新港)</t>
  </si>
  <si>
    <t>HAIFA(海法)</t>
  </si>
  <si>
    <t>ISKENDERUN(伊斯肯德伦)</t>
  </si>
  <si>
    <t>IZMIR--ALIAGA(阿利亚加)</t>
  </si>
  <si>
    <t>IZMIT--YARIMCA(亚勒姆贾)</t>
  </si>
  <si>
    <t>KOPER(科佩尔)</t>
  </si>
  <si>
    <t>MERSIN(梅尔辛)</t>
  </si>
  <si>
    <t>PIRAEUS(比雷埃夫斯)</t>
  </si>
  <si>
    <t>PORT SAID EAST(塞得东港)</t>
  </si>
  <si>
    <t>PORT SAID WEST(塞得西港)</t>
  </si>
  <si>
    <t>RIJEKA(里耶卡)</t>
  </si>
  <si>
    <t>TEKIRDAG(泰基尔达)</t>
  </si>
  <si>
    <t>TRIESTE(的里雅斯特)</t>
  </si>
  <si>
    <t>BATAM(巴淡)</t>
  </si>
  <si>
    <t>印尼菲律宾</t>
  </si>
  <si>
    <t>BATANGAS(八打雁)</t>
  </si>
  <si>
    <t>BELAWAN(乌拉湾)</t>
  </si>
  <si>
    <t>CAGAYAN(卡加延)</t>
  </si>
  <si>
    <t>CEBU(宿务)</t>
  </si>
  <si>
    <t>DAVAO(达沃)</t>
  </si>
  <si>
    <t>GENERAL SANTOS(将军港)</t>
  </si>
  <si>
    <t>ILOILO(伊洛伊洛)</t>
  </si>
  <si>
    <t>MAKASSAR(望加锡)</t>
  </si>
  <si>
    <t>MANILA N(马尼拉北)</t>
  </si>
  <si>
    <t>MANILA S(马尼拉南)</t>
  </si>
  <si>
    <t>PANJANG(潘江)</t>
  </si>
  <si>
    <t>SUBIC BAY(苏比克湾)</t>
  </si>
  <si>
    <t>BOSTON,MA(波士顿,马萨诸塞州)</t>
  </si>
  <si>
    <t>美东</t>
  </si>
  <si>
    <t>CHARLESTON,SC(查尔斯顿,南卡罗来纳州)</t>
  </si>
  <si>
    <t>HOUSTON,TX(休斯顿,德克萨斯州)</t>
  </si>
  <si>
    <t>JACKSONVILLE,FL(杰克逊维尔,佛罗里达州)</t>
  </si>
  <si>
    <t>MIAMI,FL(迈阿密,佛罗里达州)</t>
  </si>
  <si>
    <t>MOBILE,AL(莫比尔,亚拉巴马州)</t>
  </si>
  <si>
    <t>NEW ORLEANS,LA(新奥尔良,路易斯安那州)</t>
  </si>
  <si>
    <t>NEW YORK,NY(纽约,纽约州)</t>
  </si>
  <si>
    <t>NEWARK,NJ(纽瓦克,新泽西州)</t>
  </si>
  <si>
    <t>NORFOLK,VA(诺福克,弗吉尼亚州)</t>
  </si>
  <si>
    <t>PHILADELPHIA,PA(费城,宾夕法尼亚州)</t>
  </si>
  <si>
    <t>PORT EVERGLADES,FL(埃弗格雷斯,佛罗里达州)</t>
  </si>
  <si>
    <t>SAVANNAH,GA(萨瓦纳,佐治亚州)</t>
  </si>
  <si>
    <t>TAMPA,FL(坦帕,佛罗里达州)</t>
  </si>
  <si>
    <t>WILMINGTON,NC(威尔明顿,北卡罗来纳州)</t>
  </si>
  <si>
    <t>ALGECIRAS(阿尔赫西拉斯)</t>
  </si>
  <si>
    <t>地西</t>
  </si>
  <si>
    <t>BARCELONA(巴塞罗纳)</t>
  </si>
  <si>
    <t>CIVITAVECCHIA(奇维塔韦基亚)</t>
  </si>
  <si>
    <t>FOS SUR MER(福斯)</t>
  </si>
  <si>
    <t>GENOA,IT(热那亚)</t>
  </si>
  <si>
    <t>GIOIA TAURO(焦亚陶罗)</t>
  </si>
  <si>
    <t>LA SPEZIA(拉斯佩齐亚)</t>
  </si>
  <si>
    <t>MALTA,MT--MARSAXLOKK(马尔萨什洛克)</t>
  </si>
  <si>
    <t>NAPLES,IT(那不勒斯)</t>
  </si>
  <si>
    <t>SALERNO(萨莱诺)</t>
  </si>
  <si>
    <t>VADO LIGURE(瓦多利古雷)</t>
  </si>
  <si>
    <t>VALENCIA,ES(瓦伦西亚)</t>
  </si>
  <si>
    <t>AARHUS(奥尔胡斯)</t>
  </si>
  <si>
    <t>欧洲偏港</t>
  </si>
  <si>
    <t>DUNKERQUE(敦刻尔克)</t>
  </si>
  <si>
    <t>GAETA(加埃塔)</t>
  </si>
  <si>
    <t>GDANSK(格丹斯克)</t>
  </si>
  <si>
    <t>GDYNIA(格丁尼亚)</t>
  </si>
  <si>
    <t>GOTHENBURG(哥德堡)</t>
  </si>
  <si>
    <t>KLAIPEDA(克莱佩达)</t>
  </si>
  <si>
    <t>LIVERPOOL(利物浦)</t>
  </si>
  <si>
    <t>LONDON GATEWAY(伦敦口岸)</t>
  </si>
  <si>
    <t>SAGUNTO(萨贡托)</t>
  </si>
  <si>
    <t>SAINT PETERSBURG,RU(圣彼得堡)</t>
  </si>
  <si>
    <t>SINES(锡尼什港)</t>
  </si>
  <si>
    <t>TARANTO(塔兰托)</t>
  </si>
  <si>
    <t>TILBURY(蒂尔伯里)</t>
  </si>
  <si>
    <t>WILHELMSHAVEN(威廉港)</t>
  </si>
  <si>
    <t>ADEN(亚丁)</t>
  </si>
  <si>
    <t>红海</t>
  </si>
  <si>
    <t>AQABAH(亚喀巴)</t>
  </si>
  <si>
    <t>DJIBOUTI(吉布提)</t>
  </si>
  <si>
    <t>JEDDAH(吉达)</t>
  </si>
  <si>
    <t>KING ABDULLAH PORT(阿卜杜拉)</t>
  </si>
  <si>
    <t>SOKHNA(苏科纳)</t>
  </si>
  <si>
    <t>ABIDJAN(阿比让)</t>
  </si>
  <si>
    <t>西非</t>
  </si>
  <si>
    <t>COTONOU(科托努)</t>
  </si>
  <si>
    <t>KRIBI(克里比)</t>
  </si>
  <si>
    <t>LAGOS--APAPA(拉各斯--阿帕帕)</t>
  </si>
  <si>
    <t>LAGOS--LEKKI(拉各斯--莱基)</t>
  </si>
  <si>
    <t>LAGOS--TINCAN(拉各斯--庭坎)</t>
  </si>
  <si>
    <t>LOBITO,AO(洛比托)</t>
  </si>
  <si>
    <t>LOME(洛美)</t>
  </si>
  <si>
    <t>LUANDA(罗安达)</t>
  </si>
  <si>
    <t>ONNE(奥纳)</t>
  </si>
  <si>
    <t>POINTE NOIRE(黑角)</t>
  </si>
  <si>
    <t>TEMA(特马)</t>
  </si>
  <si>
    <t>WALVIS BAY(鲸湾港)</t>
  </si>
  <si>
    <t>AUCKLAND,NZ(奥克兰)</t>
  </si>
  <si>
    <t>新西兰</t>
  </si>
  <si>
    <t>BLUFF,NZ(布拉夫)</t>
  </si>
  <si>
    <t>LYTTELTON(利特尔顿)</t>
  </si>
  <si>
    <t>MARSDEN POINT(麦斯登角)</t>
  </si>
  <si>
    <t>NAPIER,NZ(纳皮尔)</t>
  </si>
  <si>
    <t>NELSON,NZ(尼尔森)</t>
  </si>
  <si>
    <t>PORT CHALMERS(查尔莫斯)</t>
  </si>
  <si>
    <t>TAURANGA,NZ(陶朗阿)</t>
  </si>
  <si>
    <t>TIMARU,NZ(蒂马鲁)</t>
  </si>
  <si>
    <t>WELLINGTON,NZ(惠灵顿,新西兰)</t>
  </si>
  <si>
    <t>BALBOA(巴尔博亚)</t>
  </si>
  <si>
    <t>中美洲</t>
  </si>
  <si>
    <t>CAUCEDO(考赛多)</t>
  </si>
  <si>
    <t>COLON（CCT）(科隆（CCT）)</t>
  </si>
  <si>
    <t>CRISTOBAL(克里斯托瓦尔)</t>
  </si>
  <si>
    <t>KINGSTON,JM(金士顿)</t>
  </si>
  <si>
    <t>MANZANILLO,PA(巴拿马曼萨尼约)</t>
  </si>
  <si>
    <t>PUERTO QUETZAL(库特扎尔)</t>
  </si>
  <si>
    <t>ENSENADA(恩塞纳达)</t>
  </si>
  <si>
    <t>LAZARO CARDENAS(拉萨罗卡德纳斯)</t>
  </si>
  <si>
    <t>MANZANILLO,MX(墨西哥曼萨尼约)</t>
  </si>
  <si>
    <t>KAOHSIUNG,TAIWAN,CHINA(高雄)</t>
  </si>
  <si>
    <t>中国台湾</t>
  </si>
  <si>
    <t>KEELUNG,TAIWAN,CHINA(基隆)</t>
  </si>
  <si>
    <t>TAICHUNG,TAIWAN,CHINA(台中)</t>
  </si>
  <si>
    <t>TAIPEI,TAIWAN,CHINA(台北)</t>
  </si>
  <si>
    <t>BALTIMORE,MD(巴尔的摩,马里兰州)</t>
  </si>
  <si>
    <t>美国内陆点</t>
  </si>
  <si>
    <t>DUTCH HARBOR,AK(荷兰港,阿拉斯加州)</t>
  </si>
  <si>
    <t>APIA(阿皮亚)</t>
  </si>
  <si>
    <t>南太平洋</t>
  </si>
  <si>
    <t>DILI(帝力)</t>
  </si>
  <si>
    <t>HONIARA(霍尼亚拉)</t>
  </si>
  <si>
    <t>KIMBE(金贝)</t>
  </si>
  <si>
    <t>KOSRAE(科斯雷岛)</t>
  </si>
  <si>
    <t>LAE(莱城)</t>
  </si>
  <si>
    <t>LAUTOKA(劳托卡)</t>
  </si>
  <si>
    <t>MADANG(马当)</t>
  </si>
  <si>
    <t>MAJURO(马朱罗)</t>
  </si>
  <si>
    <t>NOUMEA(努美阿)</t>
  </si>
  <si>
    <t>NUKUALOFA(努库阿洛法)</t>
  </si>
  <si>
    <t>PAGO PAGO(帕果帕果)</t>
  </si>
  <si>
    <t>POHNPEI(波纳佩)</t>
  </si>
  <si>
    <t>PORT MORESBY(莫尔兹比港)</t>
  </si>
  <si>
    <t>PORT VILA(维拉港)</t>
  </si>
  <si>
    <t>RABAUL(腊包儿)</t>
  </si>
  <si>
    <t>SANTO,VU(桑托岛)</t>
  </si>
  <si>
    <t>SUVA(苏瓦)</t>
  </si>
  <si>
    <t>TARAWA(塔拉瓦)</t>
  </si>
  <si>
    <t>VAVOUTO(瓦奥特)</t>
  </si>
  <si>
    <t>CASABLANCA(卡萨布兰卡)</t>
  </si>
  <si>
    <t>北非</t>
  </si>
  <si>
    <t>MISURATA(米苏拉塔)</t>
  </si>
  <si>
    <t>TANGIER,MA(丹吉尔)</t>
  </si>
  <si>
    <t>ANTWERP(安特卫普)</t>
  </si>
  <si>
    <t>欧基港</t>
  </si>
  <si>
    <t>BREMERHAVEN(不来梅哈芬)</t>
  </si>
  <si>
    <t>FELIXSTOWE(费利克斯托)</t>
  </si>
  <si>
    <t>HAMBURG,DE(汉堡)</t>
  </si>
  <si>
    <t>LE HAVRE(勒阿弗尔)</t>
  </si>
  <si>
    <t>ROTTERDAM,NL(鹿特丹)</t>
  </si>
  <si>
    <t>SOUTHAMPTON,UK(南安普顿)</t>
  </si>
  <si>
    <t>ZEEBRUGGE(泽布吕赫)</t>
  </si>
  <si>
    <t>GUAM(关岛)</t>
  </si>
  <si>
    <t>西太平洋</t>
  </si>
  <si>
    <t>KOROR(科罗尔)</t>
  </si>
  <si>
    <t>SAIPAN(塞班岛)</t>
  </si>
  <si>
    <t>YAP(雅浦)</t>
  </si>
  <si>
    <t>CAPE TOWN(开普敦)</t>
  </si>
  <si>
    <t>南非</t>
  </si>
  <si>
    <t>DURBAN(德班)</t>
  </si>
  <si>
    <t>PORT ELIZABETH--COEGA(库哈)</t>
  </si>
  <si>
    <t>新马越泰</t>
  </si>
  <si>
    <t>BINTULU(民都鲁)</t>
  </si>
  <si>
    <t>CAI LAN(蔡兰港)</t>
  </si>
  <si>
    <t>CHU LAI(茱莱)</t>
  </si>
  <si>
    <t>DONG NAI(同奈)</t>
  </si>
  <si>
    <t>KOTA KINABALU(哥打基纳巴卢)</t>
  </si>
  <si>
    <t>KUANTAN(关丹)</t>
  </si>
  <si>
    <t>KUCHING(古晋)</t>
  </si>
  <si>
    <t>MUARA(麻拉)</t>
  </si>
  <si>
    <t>PASIR GUDANG(巴西古单)</t>
  </si>
  <si>
    <t>PENANG(槟城)</t>
  </si>
  <si>
    <t>PORT KELANG N(巴生北)</t>
  </si>
  <si>
    <t>PORT KELANG W(巴生西)</t>
  </si>
  <si>
    <t>SIHANOUKVILLE(西哈努克)</t>
  </si>
  <si>
    <t>SINGAPORE(新加坡)</t>
  </si>
  <si>
    <t>SONGKHLA(宋卡)</t>
  </si>
  <si>
    <t>TANJUNG PELEPAS(丹戎帕拉帕斯)</t>
  </si>
  <si>
    <t>YANGON(仰光)</t>
  </si>
  <si>
    <t>HALIFAX,NS(哈利法克斯)</t>
  </si>
  <si>
    <t>加拿大</t>
  </si>
  <si>
    <t>PRINCE RUPERT,BC(鲁珀特港)</t>
  </si>
  <si>
    <t>VANCOUVER,BC(温哥华)</t>
  </si>
  <si>
    <t>ABU DHABI(阿布扎比)</t>
  </si>
  <si>
    <t>中东</t>
  </si>
  <si>
    <t>BAHRAIN(巴林)</t>
  </si>
  <si>
    <t>DAMMAM(达曼)</t>
  </si>
  <si>
    <t>FUJAIRAH(富查伊拉)</t>
  </si>
  <si>
    <t>HAMAD PORT,DOHA(哈马德港)</t>
  </si>
  <si>
    <t>JEBEL ALI(杰贝阿里)</t>
  </si>
  <si>
    <t>JUBAIL(朱拜勒)</t>
  </si>
  <si>
    <t>KHOR FAKKAN(豪尔法坎)</t>
  </si>
  <si>
    <t>SALALAH(萨拉拉)</t>
  </si>
  <si>
    <t>SOHAR(苏哈)</t>
  </si>
  <si>
    <t>TRIPOLI,LEBANON(的黎波里,黎巴嫩)</t>
  </si>
  <si>
    <t>UMM QASAR(乌姆盖斯尔)</t>
  </si>
  <si>
    <t>ADELAIDE(阿德莱德)</t>
  </si>
  <si>
    <t>澳大利亚</t>
  </si>
  <si>
    <t>BRISBANE,AU(布里斯班)</t>
  </si>
  <si>
    <t>DARWIN(达尔文)</t>
  </si>
  <si>
    <t>FREMANTLE,AU(弗里曼特尔)</t>
  </si>
  <si>
    <t>GLADSTONE,AU(格拉德斯通)</t>
  </si>
  <si>
    <t>MELBOURNE,AU(墨尔本)</t>
  </si>
  <si>
    <t>SYDNEY,AU(悉尼)</t>
  </si>
  <si>
    <t>TOWNSVILLE(汤斯维尔)</t>
  </si>
  <si>
    <t>CONSTANTA(康斯坦察)</t>
  </si>
  <si>
    <t>黑海</t>
  </si>
  <si>
    <t>GEBZE(格贝兹)</t>
  </si>
  <si>
    <t>GEMLIK(盖姆利克)</t>
  </si>
  <si>
    <t>ISTANBUL(伊斯坦布尔)</t>
  </si>
  <si>
    <t>IZMIT--EVYAP(艾维亚普)</t>
  </si>
  <si>
    <t>ODESSA,UA(敖德萨)</t>
  </si>
  <si>
    <t>NOVOROSSIYSK(新罗西斯克)</t>
  </si>
  <si>
    <t>远东</t>
  </si>
  <si>
    <t>VLADIVOSTOK(海参崴)</t>
  </si>
  <si>
    <t>ANTOFAGASTA(安托法加斯塔)</t>
  </si>
  <si>
    <t>南美西</t>
  </si>
  <si>
    <t>ARICA(阿里卡)</t>
  </si>
  <si>
    <t>BUENAVENTURA(布埃纳文图拉)</t>
  </si>
  <si>
    <t>CALLAO(卡亚俄)</t>
  </si>
  <si>
    <t>CARTAGENA,CO(卡塔赫纳,哥伦比亚)</t>
  </si>
  <si>
    <t>CHANCAY(钱凯港)</t>
  </si>
  <si>
    <t>CORONEL(科罗内尔)</t>
  </si>
  <si>
    <t>GUAYAQUIL(瓜亚基尔)</t>
  </si>
  <si>
    <t>IQUIQUE(伊基克)</t>
  </si>
  <si>
    <t>LIRQUEN(利尔奎)</t>
  </si>
  <si>
    <t>POSORJA(波索尔哈)</t>
  </si>
  <si>
    <t>PUERTO ANGAMOS(安加莫斯)</t>
  </si>
  <si>
    <t>SAN ANTONIO,CHILE(圣安东尼奥,智利)</t>
  </si>
  <si>
    <t>SAN VICENTE,CHILE(圣文森特,智利)</t>
  </si>
  <si>
    <t>VALPARAISO,CHILE(瓦尔帕莱索)</t>
  </si>
  <si>
    <t>中国香港</t>
  </si>
  <si>
    <t>LONG BEACH,CA(长滩,加利福尼亚州)</t>
  </si>
  <si>
    <t>美西</t>
  </si>
  <si>
    <t>LOS ANGELES,CA(洛杉矶,加利福尼亚州)</t>
  </si>
  <si>
    <t>OAKLAND,CA(奥克兰,加利福尼亚州)</t>
  </si>
  <si>
    <t>PORTLAND,OR(波特兰,俄勒冈州)</t>
  </si>
  <si>
    <t>SEATTLE,WA(西雅图,华盛顿州)</t>
  </si>
  <si>
    <t>TACOMA,WA(塔科马,华盛顿州)</t>
  </si>
  <si>
    <t>HONOLULU,HI(火奴鲁鲁)</t>
  </si>
  <si>
    <t>夏威夷</t>
  </si>
  <si>
    <t>BUENOS AIRES(布宜诺斯艾利斯)</t>
  </si>
  <si>
    <t>南美东</t>
  </si>
  <si>
    <t>IMBITUBA(因比图巴)</t>
  </si>
  <si>
    <t>ITAGUAI(伊塔瓜伊)</t>
  </si>
  <si>
    <t>ITAJAI(伊塔雅伊)</t>
  </si>
  <si>
    <t>ITAPOA(伊塔普亚)</t>
  </si>
  <si>
    <t>MONTEVIDEO,UY(蒙得维的亚)</t>
  </si>
  <si>
    <t>NAVEGANTES(纳维根特斯)</t>
  </si>
  <si>
    <t>PARANAGUA(巴拉那瓜)</t>
  </si>
  <si>
    <t>PECEM(培森)</t>
  </si>
  <si>
    <t>RIO DE JANEIRO(里约热内卢)</t>
  </si>
  <si>
    <t>RIO GRANDE(里奥格兰德)</t>
  </si>
  <si>
    <t>SALVADOR(萨尔瓦多,巴西)</t>
  </si>
  <si>
    <t>SANTOS(桑托斯)</t>
  </si>
  <si>
    <t>SUAPE(苏阿普)</t>
  </si>
  <si>
    <t>VITORIA,BR(维多利亚,巴西)</t>
  </si>
  <si>
    <t>BEIRA(贝拉)</t>
  </si>
  <si>
    <t>东非</t>
  </si>
  <si>
    <t>BERBERA(柏培拉)</t>
  </si>
  <si>
    <t>DAR ES SALAAM(达累斯萨拉姆)</t>
  </si>
  <si>
    <t>LAMU(拉穆)</t>
  </si>
  <si>
    <t>MAPUTO(马普托)</t>
  </si>
  <si>
    <t>MOMBASA(蒙巴萨)</t>
  </si>
  <si>
    <t>NACALA(纳卡拉)</t>
  </si>
  <si>
    <t>PORT LOUIS(路易斯港)</t>
  </si>
  <si>
    <t>REUNION,REUNION(留尼汪,留尼汪)</t>
  </si>
  <si>
    <t>TAMATAVE(塔马塔夫)</t>
  </si>
  <si>
    <t>CALCUTTA(加尔各答)</t>
  </si>
  <si>
    <t>印巴</t>
  </si>
  <si>
    <t>CHATTOGRAM(吉大港)</t>
  </si>
  <si>
    <t>CHENNAI(清奈)</t>
  </si>
  <si>
    <t>COCHIN(科钦)</t>
  </si>
  <si>
    <t>COLOMBO(科伦坡)</t>
  </si>
  <si>
    <t>ENNORE(印诺尔港)</t>
  </si>
  <si>
    <t>GANGAVARAM(甘瓦兰姆)</t>
  </si>
  <si>
    <t>HALDIA(霍尔迪亚)</t>
  </si>
  <si>
    <t>HAZIRA(哈吉拉)</t>
  </si>
  <si>
    <t>KARACHI--KICT(卡拉奇K港)</t>
  </si>
  <si>
    <t>KARACHI--PICT(卡拉奇P港)</t>
  </si>
  <si>
    <t>KARACHI--PORT QASIM(卡拉奇Q港)</t>
  </si>
  <si>
    <t>KARACHI--SAPT(卡拉奇SAPT港)</t>
  </si>
  <si>
    <t>KATTUPALLI(卡图帕里)</t>
  </si>
  <si>
    <t>MONGLA(蒙格拉)</t>
  </si>
  <si>
    <t>MUNDRA(蒙德拉)</t>
  </si>
  <si>
    <t>NHAVA SHEVA(那瓦西瓦)</t>
  </si>
  <si>
    <t>PIPAVAV(皮帕瓦)</t>
  </si>
  <si>
    <t>TUTICORIN(杜蒂戈林)</t>
  </si>
  <si>
    <t>VISAKHAPATNAM(维沙卡帕特南)</t>
  </si>
  <si>
    <t>VIZHINJAM(维津詹姆港)</t>
  </si>
  <si>
    <t>[DALIAN|CNDLC|中国]</t>
  </si>
  <si>
    <t>[MANZANILLO MX|MXZLO|墨西哥]</t>
  </si>
  <si>
    <t>[FELIXSTOWE|GBFXT|欧基港]</t>
  </si>
  <si>
    <t>[ROTTERDAM NL|NLRTM|欧基港]</t>
  </si>
  <si>
    <t>[ISTANBUL|TRIST|黑海]</t>
  </si>
  <si>
    <t>[NHAVA SHEVA|INNSA|印巴]</t>
  </si>
  <si>
    <t>[JEBEL ALI DUBAI|AEJEA|中东]</t>
  </si>
  <si>
    <t>[HOCHIMINH|VNSGN|新马越泰]</t>
  </si>
  <si>
    <t>[MANILA|PHMNL|印尼 菲律宾]</t>
  </si>
  <si>
    <t>[JAKARTA|IDJKT|印尼 菲律宾]</t>
  </si>
  <si>
    <t>[HAIPHONG|VNHPH|新马越泰]</t>
  </si>
  <si>
    <t>[LAEM CHABANG|THLCH|新马越泰]</t>
  </si>
  <si>
    <t>[TANJUNG PELEPAS|MYTPP|新马越泰]</t>
  </si>
  <si>
    <t>[SURABAYA|IDSUB|印尼 菲律宾]</t>
  </si>
  <si>
    <t>[SINGAPORE|SGSIN|新马越泰]</t>
  </si>
  <si>
    <t>[SIHANOUKVILLE|KHKOS|新马越泰]</t>
  </si>
  <si>
    <t>[DAVAO|PHDVO|印尼 菲律宾]</t>
  </si>
  <si>
    <t>[PASIR GUDANG|MYPGU|新马越泰]</t>
  </si>
  <si>
    <t>[PORT KELANG|MYPKG|新马越泰]</t>
  </si>
  <si>
    <t>[HONG KONG|HKHKG|中国香港]</t>
  </si>
  <si>
    <t>[BUSAN|KRPUS|韩国]</t>
  </si>
  <si>
    <t>[YOKOHAMA|JPYOK|关东]</t>
  </si>
  <si>
    <t>[HAKATA|JPHTD|九州]</t>
  </si>
  <si>
    <t>[BUSAN NEW PORT|KRBNP|韩国]</t>
  </si>
  <si>
    <t>[KAOHSIUNG TAIWAN|TWKHH|中国台湾]</t>
  </si>
  <si>
    <t>[SHIBUSHI|JPSBS|九州]</t>
  </si>
  <si>
    <t>[NIIGATA|JPKIJ|本州]</t>
  </si>
  <si>
    <t>[VLADIVOSTOK|RUVVO|远东]</t>
  </si>
  <si>
    <t>[IMARI|JPIMI|九州]</t>
  </si>
  <si>
    <t>[OSAKA|JPOSA|关西]</t>
  </si>
  <si>
    <t>[PYEONGTAEK|KRPTK|韩国]</t>
  </si>
  <si>
    <t>[VOSTOCHNY|RUVYP|远东]</t>
  </si>
  <si>
    <t>[LIANYUNGANG JIANGSU|CNLYG|中国]</t>
  </si>
  <si>
    <t>[VANCOUVER BC|CAVAN|加拿大]</t>
  </si>
  <si>
    <t>[TOKYO|JPTYO|关东]</t>
  </si>
  <si>
    <t>[KWANGYANG|KRKWA|韩国]</t>
  </si>
  <si>
    <t>[INCHON|KRINC|韩国]</t>
  </si>
  <si>
    <t>[NINGBO|CNNGB|中国]</t>
  </si>
  <si>
    <t>[LONG BEACH CA|USLGB|美西]</t>
  </si>
  <si>
    <t>[LOS ANGELES CA|USLAX|美西]</t>
  </si>
  <si>
    <t>[TACOMA WA|USTIW|美西]</t>
  </si>
  <si>
    <t>[SEATTLE WA|USSEA|美西]</t>
  </si>
  <si>
    <t>[SAVANNAH GA|USSAV|美东]</t>
  </si>
  <si>
    <t>[HOUSTON TX|USHOU|美东]</t>
  </si>
  <si>
    <t>[NEW YORK NY|USNYC|美东]</t>
  </si>
  <si>
    <t>[PRINCE RUPERT BC|CAPRR|加拿大]</t>
  </si>
  <si>
    <t>[LAZARO CARDENAS|MXLZC|墨西哥]</t>
  </si>
  <si>
    <t>[SAINT PETERSBURG RU|RULED|欧洲偏港]</t>
  </si>
  <si>
    <t>[SOUTHAMPTON UK|GBSOU|欧基港]</t>
  </si>
  <si>
    <t>[WILHELMSHAVEN|DEWVN|欧洲偏港]</t>
  </si>
  <si>
    <t>[VALENCIA ES|ESVLC|地西]</t>
  </si>
  <si>
    <t>[KOPER|SIKOP|地东]</t>
  </si>
  <si>
    <t>[NOVOROSSIYSK|RUNVS|欧洲偏港]</t>
  </si>
  <si>
    <t>[CHENNAI|INMAA|印巴]</t>
  </si>
  <si>
    <t>[MUNDRA|INMUN|印巴]</t>
  </si>
  <si>
    <t>[KARACHI|PKKHI|印巴]</t>
  </si>
  <si>
    <t>[KATTUPALLI|INKAT|印巴]</t>
  </si>
  <si>
    <t>[COLOMBO|LKCMB|印巴]</t>
  </si>
  <si>
    <t>[DAMMAM|SADMM|中东]</t>
  </si>
  <si>
    <t>[JEDDAH|SAJED|红海]</t>
  </si>
  <si>
    <t>[MOMBASA|KEMBA|东非]</t>
  </si>
  <si>
    <t>[DURBAN|ZADUR|南非]</t>
  </si>
  <si>
    <t>[DAR ES SALAAM|TZDAR|东非]</t>
  </si>
  <si>
    <t>[POINTE NOIRE|CGPNR|西非]</t>
  </si>
  <si>
    <t>[TEMA|GHTEM|西非]</t>
  </si>
  <si>
    <t>[LAGOS|NGLOS|西非]</t>
  </si>
  <si>
    <t>[BUENAVENTURA|COBUN|南美西]</t>
  </si>
  <si>
    <t>[SAN ANTONIO|CLSAI|南美西]</t>
  </si>
  <si>
    <t>[SANTOS|BRSSZ|南美东]</t>
  </si>
  <si>
    <t>[BALBOA|PABLB|中美洲]</t>
  </si>
  <si>
    <t>[BRISBANE AU|AUBNE|澳大利亚]</t>
  </si>
  <si>
    <t>[LAE|PGLAE|南太平洋]</t>
  </si>
  <si>
    <t>[AUCKLAND NZ|NZAKL|新西兰]</t>
  </si>
  <si>
    <t>[PENANG|MYPEN|新马越泰]</t>
  </si>
  <si>
    <t>[CHATTOGRAM CHITTAGONG|BDCGP|印巴]</t>
  </si>
  <si>
    <t>[YANGON|MMRGN|新马越泰]</t>
  </si>
  <si>
    <t>[TAICHUNG TAIWAN|TWTXG|中国台湾]</t>
  </si>
  <si>
    <t>[NAGOYA|JPNGO|关东]</t>
  </si>
  <si>
    <t>[QINGDAO SHANDONG|CNTAO|中国]</t>
  </si>
  <si>
    <t>[BARCELONA|ESBCN|地西]</t>
  </si>
  <si>
    <t>[CAUCEDO|DOCAU|中美洲]</t>
  </si>
  <si>
    <t>[PORT VILA|VUVLI|南太平洋]</t>
  </si>
  <si>
    <t>[CAI MEP|VNTOT|新马越泰]</t>
  </si>
  <si>
    <t>[TOYAMA|JPTOY|本州]</t>
  </si>
  <si>
    <t>[JEJU|KRCHA|韩国]</t>
  </si>
  <si>
    <t>[RIZHAO SHANDONG|CNRZH|中国]</t>
  </si>
  <si>
    <t>[SHANGHAI|CNSHA|中国]</t>
  </si>
  <si>
    <t>[PORT LOUIS|MUPLU|东非]</t>
  </si>
  <si>
    <t>[TOWNSVILLE|AUTSV|澳大利亚]</t>
  </si>
  <si>
    <t>[MELBOURNE AU|AUMEL|澳大利亚]</t>
  </si>
  <si>
    <t>[BATAM|IDBTM|印尼 菲律宾]</t>
  </si>
  <si>
    <t>[CAGAYAN|PHCGY|印尼 菲律宾]</t>
  </si>
  <si>
    <t>[CHU LAI|VNC8Q|新马越泰]</t>
  </si>
  <si>
    <t>[FUKUYAMA|JPFKY|关西/濑户内海]</t>
  </si>
  <si>
    <t>[TAICANG JIANGSU|CNTAC|中国]</t>
  </si>
  <si>
    <t>[PORT HEDLAND|AUPHE|澳大利亚]</t>
  </si>
  <si>
    <t>[TIANJIN|CNTXG|中国]</t>
  </si>
  <si>
    <t>PKKHI</t>
  </si>
  <si>
    <t>JPFKY</t>
  </si>
  <si>
    <t>NGLOS</t>
  </si>
  <si>
    <t>3ez67yisC8fnVI5KVlpklg%253D%253D</t>
    <phoneticPr fontId="1" type="noConversion"/>
  </si>
  <si>
    <t>ZY9R0ulrUtfklWEEetRGPg%253D%253D</t>
    <phoneticPr fontId="1" type="noConversion"/>
  </si>
  <si>
    <t>pYedXNkKr1mBY5rOJMN3xw%253D%253D</t>
    <phoneticPr fontId="1" type="noConversion"/>
  </si>
  <si>
    <t>NvZ0rL1fQetrGxk%252FGZRAXg%253D%253D</t>
  </si>
  <si>
    <t>d4cKFtsNQdHrm3NULzwm1w%253D%253D</t>
    <phoneticPr fontId="1" type="noConversion"/>
  </si>
  <si>
    <t>001</t>
    <phoneticPr fontId="1" type="noConversion"/>
  </si>
  <si>
    <t>365</t>
    <phoneticPr fontId="1" type="noConversion"/>
  </si>
  <si>
    <t>CNRZH</t>
    <phoneticPr fontId="1" type="noConversion"/>
  </si>
  <si>
    <t>Rizhao, China</t>
    <phoneticPr fontId="1" type="noConversion"/>
  </si>
  <si>
    <r>
      <t>RIZHAO(</t>
    </r>
    <r>
      <rPr>
        <sz val="11"/>
        <color theme="1"/>
        <rFont val="Microsoft YaHei UI"/>
        <family val="2"/>
        <charset val="134"/>
      </rPr>
      <t>日照</t>
    </r>
    <r>
      <rPr>
        <sz val="11"/>
        <color theme="1"/>
        <rFont val="Calibri"/>
        <family val="2"/>
      </rPr>
      <t>)</t>
    </r>
    <phoneticPr fontId="1" type="noConversion"/>
  </si>
  <si>
    <t>[DONG NAI|VNDNA|新马越泰]</t>
    <phoneticPr fontId="1" type="noConversion"/>
  </si>
  <si>
    <r>
      <t>[DALIAN|CNDLC|</t>
    </r>
    <r>
      <rPr>
        <sz val="11"/>
        <color theme="1"/>
        <rFont val="等线"/>
        <family val="2"/>
        <charset val="134"/>
      </rPr>
      <t>中国</t>
    </r>
    <r>
      <rPr>
        <sz val="11"/>
        <color theme="1"/>
        <rFont val="Calibri"/>
        <family val="2"/>
      </rPr>
      <t>]</t>
    </r>
  </si>
  <si>
    <r>
      <t>[DONG NAI|VNDNA|</t>
    </r>
    <r>
      <rPr>
        <sz val="11"/>
        <color theme="1"/>
        <rFont val="等线"/>
        <family val="2"/>
        <charset val="134"/>
      </rPr>
      <t>新马越泰</t>
    </r>
    <r>
      <rPr>
        <sz val="11"/>
        <color theme="1"/>
        <rFont val="Calibri"/>
        <family val="2"/>
      </rPr>
      <t>]</t>
    </r>
    <phoneticPr fontId="1" type="noConversion"/>
  </si>
  <si>
    <r>
      <t>[TIANJIN|CNTXG|</t>
    </r>
    <r>
      <rPr>
        <sz val="11"/>
        <color theme="1"/>
        <rFont val="等线"/>
        <family val="2"/>
        <charset val="134"/>
      </rPr>
      <t>中国</t>
    </r>
    <r>
      <rPr>
        <sz val="11"/>
        <color theme="1"/>
        <rFont val="Calibri"/>
        <family val="2"/>
      </rPr>
      <t>]</t>
    </r>
  </si>
  <si>
    <r>
      <t>[QINGDAO SHANDONG|CNTAO|</t>
    </r>
    <r>
      <rPr>
        <sz val="11"/>
        <color theme="1"/>
        <rFont val="等线"/>
        <family val="2"/>
        <charset val="134"/>
      </rPr>
      <t>中国</t>
    </r>
    <r>
      <rPr>
        <sz val="11"/>
        <color theme="1"/>
        <rFont val="Calibri"/>
        <family val="2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</si>
</sst>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Microsoft YaHei UI"/>
      <family val="2"/>
      <charset val="134"/>
    </font>
    <font>
      <sz val="11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2" xr16:uid="{D97B8402-D191-4F9C-8E87-2FBF47441CD3}" autoFormatId="16" applyNumberFormats="0" applyBorderFormats="0" applyFontFormats="0" applyPatternFormats="0" applyAlignmentFormats="0" applyWidthHeightFormats="0">
  <queryTableRefresh nextId="10">
    <queryTableFields count="9">
      <queryTableField id="1" name="POD.Weiyun" tableColumnId="1"/>
      <queryTableField id="2" name="POD.Fleet" tableColumnId="2"/>
      <queryTableField id="3" name="Repeat" tableColumnId="3"/>
      <queryTableField id="4" name="RANGE" tableColumnId="4"/>
      <queryTableField id="5" name="SUB RANGE" tableColumnId="5"/>
      <queryTableField id="6" name="Port Code" tableColumnId="6"/>
      <queryTableField id="7" name="de" tableColumnId="7"/>
      <queryTableField id="8" name="rt" tableColumnId="8"/>
      <queryTableField id="9" name="Remark" tableColumnId="9"/>
    </queryTableFields>
  </queryTableRefresh>
  <extLst>
    <ext xmlns:x15="http://schemas.microsoft.com/office/spreadsheetml/2010/11/main" uri="{883FBD77-0823-4a55-B5E3-86C4891E6966}">
      <x15:queryTable sourceDataName="查询 - POD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3837DFF-8AE4-42C2-BA8A-AFAFCD7BA1EE}" autoFormatId="16" applyNumberFormats="0" applyBorderFormats="0" applyFontFormats="0" applyPatternFormats="0" applyAlignmentFormats="0" applyWidthHeightFormats="0">
  <queryTableRefresh nextId="10" unboundColumnsRight="7">
    <queryTableFields count="9">
      <queryTableField id="1" name="POL" tableColumnId="1"/>
      <queryTableField id="2" name="POD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E5A070E-F842-4B88-87A9-3C5D0DC98F62}" autoFormatId="16" applyNumberFormats="0" applyBorderFormats="0" applyFontFormats="0" applyPatternFormats="0" applyAlignmentFormats="0" applyWidthHeightFormats="0">
  <queryTableRefresh nextId="7" unboundColumnsRight="3">
    <queryTableFields count="5">
      <queryTableField id="1" name="POL" tableColumnId="1"/>
      <queryTableField id="2" name="POD" tableColumnId="2"/>
      <queryTableField id="3" dataBound="0" tableColumnId="3"/>
      <queryTableField id="4" dataBound="0" tableColumnId="4"/>
      <queryTableField id="6" dataBound="0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A65C5C-F07D-43E7-8DC0-339827F99201}" name="表3" displayName="表3" ref="A1:J25" totalsRowShown="0" headerRowDxfId="44" dataDxfId="43">
  <autoFilter ref="A1:J25" xr:uid="{0AA65C5C-F07D-43E7-8DC0-339827F99201}"/>
  <tableColumns count="10">
    <tableColumn id="1" xr3:uid="{858E4B41-2FA0-44A7-B680-2A99205EBE86}" name="POL.Weiyun" dataDxfId="42"/>
    <tableColumn id="2" xr3:uid="{2DF6C55C-77BF-4EB0-8B56-9DB524864E30}" name="POL.Fleet" dataDxfId="41"/>
    <tableColumn id="3" xr3:uid="{F398794A-C1B1-4628-BBCE-3D43BD18E727}" name="Repeat" dataDxfId="40"/>
    <tableColumn id="4" xr3:uid="{DBF20C68-9229-4C24-8F4F-A1E4F752FE52}" name="RANGE" dataDxfId="39"/>
    <tableColumn id="5" xr3:uid="{29BAF238-C8BA-458E-984E-5BA5EB852FFE}" name="SUB RANGE" dataDxfId="38"/>
    <tableColumn id="6" xr3:uid="{99D1F8F8-90CB-4C89-85CD-76D8A072EDEB}" name="Port Code" dataDxfId="37"/>
    <tableColumn id="7" xr3:uid="{4A6C5FAA-F746-43AC-8121-5306D949F10E}" name="st" dataDxfId="36"/>
    <tableColumn id="8" xr3:uid="{71B8D350-07CE-4284-B3C7-26D59DB4956D}" name="rg" dataDxfId="35"/>
    <tableColumn id="9" xr3:uid="{02342720-50D9-4CA1-9629-6EF6ADCFB309}" name="001" dataDxfId="34">
      <calculatedColumnFormula>COUNTIF('Port Optimization 001'!C:C,表3[[#This Row],[Port Code]])</calculatedColumnFormula>
    </tableColumn>
    <tableColumn id="10" xr3:uid="{C74C7D7B-5C45-4258-8B04-D0C29342B8EF}" name="365" dataDxfId="33">
      <calculatedColumnFormula>COUNTIF('Port Optimization 365'!C:C,表3[[#This Row],[Port Code]])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81D823-D175-4695-B8F7-F767F16DF5B4}" name="POD" displayName="POD" ref="A1:I285" tableType="queryTable" totalsRowShown="0" headerRowDxfId="32" dataDxfId="31">
  <autoFilter ref="A1:I285" xr:uid="{2981D823-D175-4695-B8F7-F767F16DF5B4}"/>
  <tableColumns count="9">
    <tableColumn id="1" xr3:uid="{8F9B4E70-E459-4CF0-A49B-CDB47098017B}" uniqueName="1" name="POD.Weiyun" queryTableFieldId="1" dataDxfId="30"/>
    <tableColumn id="2" xr3:uid="{B664882A-FD17-4702-8376-6E4A337B7C72}" uniqueName="2" name="POD.Fleet" queryTableFieldId="2" dataDxfId="29"/>
    <tableColumn id="3" xr3:uid="{76D70F9D-E864-4D12-87DA-CBB8F9335EB8}" uniqueName="3" name="Repeat" queryTableFieldId="3" dataDxfId="28"/>
    <tableColumn id="4" xr3:uid="{900B84DD-FF06-468E-97EF-9128EE124A48}" uniqueName="4" name="RANGE" queryTableFieldId="4" dataDxfId="27"/>
    <tableColumn id="5" xr3:uid="{28F6F81F-D22E-4A0A-B967-82B3ED8ACB2B}" uniqueName="5" name="SUB RANGE" queryTableFieldId="5" dataDxfId="26"/>
    <tableColumn id="6" xr3:uid="{A3979D5D-85CA-43D5-964E-1994A6591F79}" uniqueName="6" name="Port Code" queryTableFieldId="6" dataDxfId="25"/>
    <tableColumn id="7" xr3:uid="{9741210D-749C-4761-AB46-BA4E5B5640FC}" uniqueName="7" name="de" queryTableFieldId="7" dataDxfId="24"/>
    <tableColumn id="8" xr3:uid="{05E349FB-55FC-4353-A89B-7355BB4D6C72}" uniqueName="8" name="rt" queryTableFieldId="8" dataDxfId="23"/>
    <tableColumn id="9" xr3:uid="{1E089005-FB45-46F7-A6D6-74ED84165D2E}" uniqueName="9" name="Remark" queryTableFieldId="9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E29381-85CA-4AA7-B649-ADD3ABF7C62A}" name="Port_Optimization_001" displayName="Port_Optimization_001" ref="A1:I320" tableType="queryTable" totalsRowShown="0" headerRowDxfId="21" dataDxfId="20">
  <autoFilter ref="A1:I320" xr:uid="{0EE29381-85CA-4AA7-B649-ADD3ABF7C62A}"/>
  <tableColumns count="9">
    <tableColumn id="1" xr3:uid="{4F177D2B-A0C4-4745-9132-4ABFEBFF0E1B}" uniqueName="1" name="POL" queryTableFieldId="1" dataDxfId="19"/>
    <tableColumn id="2" xr3:uid="{2231DD02-141C-44DA-9531-D7FA95C328CB}" uniqueName="2" name="POD" queryTableFieldId="2" dataDxfId="18"/>
    <tableColumn id="3" xr3:uid="{D9DC32B3-33A9-4E47-9A92-CDDF348213C7}" uniqueName="3" name="POL CODE" queryTableFieldId="3" dataDxfId="17">
      <calculatedColumnFormula>IF(_xlfn.TEXTBEFORE(_xlfn.TEXTAFTER(A2,"|"),"|")="CNRZH","CNTAO",_xlfn.TEXTBEFORE(_xlfn.TEXTAFTER(A2,"|"),"|"))</calculatedColumnFormula>
    </tableColumn>
    <tableColumn id="4" xr3:uid="{37B79722-145C-45DF-A8AF-3F4E8BF83876}" uniqueName="4" name="POD CODE" queryTableFieldId="4" dataDxfId="16">
      <calculatedColumnFormula>_xlfn.TEXTBEFORE(_xlfn.TEXTAFTER(B2,"|"),"|")</calculatedColumnFormula>
    </tableColumn>
    <tableColumn id="5" xr3:uid="{D75BF47E-CBBC-4CF1-97D2-8C8422D93E69}" uniqueName="5" name="WEIYUN001 URL" queryTableFieldId="5" dataDxfId="15">
      <calculatedColumnFormula>"https://www.weiyun001.com/routePort?st="&amp;Port_Optimization_001[[#This Row],[st]]&amp;"&amp;de="&amp;Port_Optimization_001[[#This Row],[de]]&amp;"&amp;rg="&amp;Port_Optimization_001[[#This Row],[rg]]&amp;"&amp;rt="&amp;Port_Optimization_001[[#This Row],[rt]]</calculatedColumnFormula>
    </tableColumn>
    <tableColumn id="6" xr3:uid="{DDE99723-838E-49D9-8F7E-8D6904514BE7}" uniqueName="6" name="st" queryTableFieldId="6" dataDxfId="14">
      <calculatedColumnFormula>VLOOKUP(Port_Optimization_001[[#This Row],[POL CODE]],POL!F:H,2,0)</calculatedColumnFormula>
    </tableColumn>
    <tableColumn id="7" xr3:uid="{74F5A918-F8E4-4687-94EA-2F3CFA7ACC05}" uniqueName="7" name="de" queryTableFieldId="7" dataDxfId="13">
      <calculatedColumnFormula>_xlfn.IFNA(VLOOKUP(Port_Optimization_001[[#This Row],[POD CODE]],POD!F:H,2,0),"")</calculatedColumnFormula>
    </tableColumn>
    <tableColumn id="8" xr3:uid="{5D2B1591-624C-4F00-BFCC-B804CA18325B}" uniqueName="8" name="rg" queryTableFieldId="8" dataDxfId="12">
      <calculatedColumnFormula>VLOOKUP(Port_Optimization_001[[#This Row],[POL CODE]],POL!F:H,3,0)</calculatedColumnFormula>
    </tableColumn>
    <tableColumn id="9" xr3:uid="{68E7A675-8F51-45B1-989A-F4F6D3BE2B19}" uniqueName="9" name="rt" queryTableFieldId="9" dataDxfId="11">
      <calculatedColumnFormula>_xlfn.IFNA(VLOOKUP(Port_Optimization_001[[#This Row],[POD CODE]],POD!F:H,3,0),"")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71B1D-F297-4A52-B550-7180691FC604}" name="Port_Optimization_365" displayName="Port_Optimization_365" ref="A1:E320" tableType="queryTable" totalsRowShown="0" headerRowDxfId="10" dataDxfId="9">
  <autoFilter ref="A1:E320" xr:uid="{1EB71B1D-F297-4A52-B550-7180691FC604}"/>
  <tableColumns count="5">
    <tableColumn id="1" xr3:uid="{01C697F1-F130-4A26-B15E-1CE5548FB7D8}" uniqueName="1" name="POL" queryTableFieldId="1" dataDxfId="8"/>
    <tableColumn id="2" xr3:uid="{331862A7-29F0-4AD6-B2BE-64DD937E6632}" uniqueName="2" name="POD" queryTableFieldId="2" dataDxfId="7"/>
    <tableColumn id="3" xr3:uid="{A11F0B3A-D2EB-40C3-9029-0336FD07FEC9}" uniqueName="3" name="POL CODE" queryTableFieldId="3" dataDxfId="6">
      <calculatedColumnFormula>_xlfn.TEXTBEFORE(_xlfn.TEXTAFTER(A2,"|"),"|")</calculatedColumnFormula>
    </tableColumn>
    <tableColumn id="4" xr3:uid="{35F5F032-7756-4EDB-AA8F-EF392F489206}" uniqueName="4" name="POD CODE" queryTableFieldId="4" dataDxfId="5">
      <calculatedColumnFormula>_xlfn.TEXTBEFORE(_xlfn.TEXTAFTER(B2,"|"),"|")</calculatedColumnFormula>
    </tableColumn>
    <tableColumn id="6" xr3:uid="{0AC5561F-564B-4C97-B842-AA25D8E7C157}" uniqueName="6" name="HANGYUN365 URL" queryTableFieldId="6" dataDxfId="4">
      <calculatedColumnFormula>"https://www.hangyun365.com/Shipping?pol_code="&amp;Port_Optimization_365[[#This Row],[POL CODE]]&amp;"&amp;pod_code="&amp;Port_Optimization_365[[#This Row],[POD CODE]]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CE65-640E-4852-B9E6-8BA200D87CBE}">
  <dimension ref="A1:J147"/>
  <sheetViews>
    <sheetView zoomScale="85" zoomScaleNormal="85" workbookViewId="0"/>
  </sheetViews>
  <sheetFormatPr defaultRowHeight="14" x14ac:dyDescent="0.3"/>
  <cols>
    <col min="1" max="1" width="29" bestFit="1" customWidth="1"/>
    <col min="2" max="2" width="20.5" bestFit="1" customWidth="1"/>
    <col min="3" max="3" width="29" bestFit="1" customWidth="1"/>
    <col min="4" max="4" width="12.6640625" bestFit="1" customWidth="1"/>
    <col min="5" max="5" width="26.58203125" bestFit="1" customWidth="1"/>
    <col min="6" max="6" width="12.25" bestFit="1" customWidth="1"/>
    <col min="7" max="8" width="46.83203125" bestFit="1" customWidth="1"/>
  </cols>
  <sheetData>
    <row r="1" spans="1:10" ht="14.5" x14ac:dyDescent="0.3">
      <c r="A1" s="1" t="s">
        <v>2</v>
      </c>
      <c r="B1" s="1" t="s">
        <v>796</v>
      </c>
      <c r="C1" s="1" t="s">
        <v>797</v>
      </c>
      <c r="D1" s="1" t="s">
        <v>798</v>
      </c>
      <c r="E1" s="1" t="s">
        <v>799</v>
      </c>
      <c r="F1" s="1" t="s">
        <v>800</v>
      </c>
      <c r="G1" s="1" t="s">
        <v>4</v>
      </c>
      <c r="H1" s="1" t="s">
        <v>6</v>
      </c>
      <c r="I1" s="3" t="s">
        <v>1502</v>
      </c>
      <c r="J1" s="1" t="s">
        <v>1503</v>
      </c>
    </row>
    <row r="2" spans="1:10" ht="14.5" x14ac:dyDescent="0.3">
      <c r="A2" s="1" t="s">
        <v>1072</v>
      </c>
      <c r="B2" s="1" t="s">
        <v>178</v>
      </c>
      <c r="C2" s="1" t="s">
        <v>1072</v>
      </c>
      <c r="D2" s="1" t="s">
        <v>801</v>
      </c>
      <c r="E2" s="1" t="s">
        <v>802</v>
      </c>
      <c r="F2" s="1" t="s">
        <v>182</v>
      </c>
      <c r="G2" s="1" t="s">
        <v>180</v>
      </c>
      <c r="H2" s="1" t="s">
        <v>180</v>
      </c>
      <c r="I2" s="1">
        <f>COUNTIF('Port Optimization 001'!C:C,表3[[#This Row],[Port Code]])</f>
        <v>32</v>
      </c>
      <c r="J2" s="1">
        <f>COUNTIF('Port Optimization 365'!C:C,表3[[#This Row],[Port Code]])</f>
        <v>32</v>
      </c>
    </row>
    <row r="3" spans="1:10" ht="14.5" x14ac:dyDescent="0.3">
      <c r="A3" s="1" t="s">
        <v>1083</v>
      </c>
      <c r="B3" s="1" t="s">
        <v>785</v>
      </c>
      <c r="C3" s="1" t="s">
        <v>1083</v>
      </c>
      <c r="D3" s="1" t="s">
        <v>801</v>
      </c>
      <c r="E3" s="1" t="s">
        <v>802</v>
      </c>
      <c r="F3" s="1" t="s">
        <v>787</v>
      </c>
      <c r="G3" s="1" t="s">
        <v>786</v>
      </c>
      <c r="H3" s="1" t="s">
        <v>786</v>
      </c>
      <c r="I3" s="1">
        <f>COUNTIF('Port Optimization 001'!C:C,表3[[#This Row],[Port Code]])</f>
        <v>45</v>
      </c>
      <c r="J3" s="1">
        <f>COUNTIF('Port Optimization 365'!C:C,表3[[#This Row],[Port Code]])</f>
        <v>45</v>
      </c>
    </row>
    <row r="4" spans="1:10" ht="14.5" x14ac:dyDescent="0.3">
      <c r="A4" s="1" t="s">
        <v>1079</v>
      </c>
      <c r="B4" s="1" t="s">
        <v>752</v>
      </c>
      <c r="C4" s="1" t="s">
        <v>1079</v>
      </c>
      <c r="D4" s="1" t="s">
        <v>801</v>
      </c>
      <c r="E4" s="1" t="s">
        <v>802</v>
      </c>
      <c r="F4" s="1" t="s">
        <v>754</v>
      </c>
      <c r="G4" s="1" t="s">
        <v>753</v>
      </c>
      <c r="H4" s="1" t="s">
        <v>753</v>
      </c>
      <c r="I4" s="1">
        <f>COUNTIF('Port Optimization 001'!C:C,表3[[#This Row],[Port Code]])</f>
        <v>73</v>
      </c>
      <c r="J4" s="1">
        <f>COUNTIF('Port Optimization 365'!C:C,表3[[#This Row],[Port Code]])</f>
        <v>64</v>
      </c>
    </row>
    <row r="5" spans="1:10" ht="16.5" x14ac:dyDescent="0.3">
      <c r="A5" s="1" t="s">
        <v>1506</v>
      </c>
      <c r="B5" s="1" t="s">
        <v>1505</v>
      </c>
      <c r="C5" s="1" t="s">
        <v>1506</v>
      </c>
      <c r="D5" s="1" t="s">
        <v>801</v>
      </c>
      <c r="E5" s="1" t="s">
        <v>802</v>
      </c>
      <c r="F5" s="1" t="s">
        <v>1504</v>
      </c>
      <c r="G5" s="1"/>
      <c r="H5" s="1"/>
      <c r="I5" s="1">
        <f>COUNTIF('Port Optimization 001'!C:C,表3[[#This Row],[Port Code]])</f>
        <v>0</v>
      </c>
      <c r="J5" s="1">
        <f>COUNTIF('Port Optimization 365'!C:C,表3[[#This Row],[Port Code]])</f>
        <v>9</v>
      </c>
    </row>
    <row r="6" spans="1:10" ht="14.5" x14ac:dyDescent="0.3">
      <c r="A6" s="1" t="s">
        <v>1076</v>
      </c>
      <c r="B6" s="1" t="s">
        <v>559</v>
      </c>
      <c r="C6" s="1" t="s">
        <v>1076</v>
      </c>
      <c r="D6" s="1" t="s">
        <v>801</v>
      </c>
      <c r="E6" s="1" t="s">
        <v>802</v>
      </c>
      <c r="F6" s="1" t="s">
        <v>563</v>
      </c>
      <c r="G6" s="1" t="s">
        <v>561</v>
      </c>
      <c r="H6" s="1" t="s">
        <v>561</v>
      </c>
      <c r="I6" s="1">
        <f>COUNTIF('Port Optimization 001'!C:C,表3[[#This Row],[Port Code]])</f>
        <v>15</v>
      </c>
      <c r="J6" s="1">
        <f>COUNTIF('Port Optimization 365'!C:C,表3[[#This Row],[Port Code]])</f>
        <v>15</v>
      </c>
    </row>
    <row r="7" spans="1:10" ht="14.5" x14ac:dyDescent="0.3">
      <c r="A7" s="1" t="s">
        <v>1082</v>
      </c>
      <c r="B7" s="1" t="s">
        <v>779</v>
      </c>
      <c r="C7" s="1" t="s">
        <v>1082</v>
      </c>
      <c r="D7" s="1" t="s">
        <v>801</v>
      </c>
      <c r="E7" s="1" t="s">
        <v>803</v>
      </c>
      <c r="F7" s="1" t="s">
        <v>781</v>
      </c>
      <c r="G7" s="1" t="s">
        <v>780</v>
      </c>
      <c r="H7" s="1" t="s">
        <v>780</v>
      </c>
      <c r="I7" s="1">
        <f>COUNTIF('Port Optimization 001'!C:C,表3[[#This Row],[Port Code]])</f>
        <v>17</v>
      </c>
      <c r="J7" s="1">
        <f>COUNTIF('Port Optimization 365'!C:C,表3[[#This Row],[Port Code]])</f>
        <v>17</v>
      </c>
    </row>
    <row r="8" spans="1:10" ht="14.5" x14ac:dyDescent="0.3">
      <c r="A8" s="1" t="s">
        <v>1080</v>
      </c>
      <c r="B8" s="1" t="s">
        <v>767</v>
      </c>
      <c r="C8" s="1" t="s">
        <v>1080</v>
      </c>
      <c r="D8" s="1" t="s">
        <v>801</v>
      </c>
      <c r="E8" s="1" t="s">
        <v>803</v>
      </c>
      <c r="F8" s="1" t="s">
        <v>769</v>
      </c>
      <c r="G8" s="1" t="s">
        <v>768</v>
      </c>
      <c r="H8" s="1" t="s">
        <v>768</v>
      </c>
      <c r="I8" s="1">
        <f>COUNTIF('Port Optimization 001'!C:C,表3[[#This Row],[Port Code]])</f>
        <v>73</v>
      </c>
      <c r="J8" s="1">
        <f>COUNTIF('Port Optimization 365'!C:C,表3[[#This Row],[Port Code]])</f>
        <v>73</v>
      </c>
    </row>
    <row r="9" spans="1:10" ht="14.5" x14ac:dyDescent="0.3">
      <c r="A9" s="1" t="s">
        <v>1078</v>
      </c>
      <c r="B9" s="1" t="s">
        <v>666</v>
      </c>
      <c r="C9" s="1" t="s">
        <v>1078</v>
      </c>
      <c r="D9" s="1" t="s">
        <v>801</v>
      </c>
      <c r="E9" s="1" t="s">
        <v>803</v>
      </c>
      <c r="F9" s="1" t="s">
        <v>668</v>
      </c>
      <c r="G9" s="1" t="s">
        <v>667</v>
      </c>
      <c r="H9" s="1" t="s">
        <v>667</v>
      </c>
      <c r="I9" s="1">
        <f>COUNTIF('Port Optimization 001'!C:C,表3[[#This Row],[Port Code]])</f>
        <v>67</v>
      </c>
      <c r="J9" s="1">
        <f>COUNTIF('Port Optimization 365'!C:C,表3[[#This Row],[Port Code]])</f>
        <v>67</v>
      </c>
    </row>
    <row r="10" spans="1:10" ht="14.5" x14ac:dyDescent="0.3">
      <c r="A10" s="1" t="s">
        <v>1073</v>
      </c>
      <c r="B10" s="1" t="s">
        <v>315</v>
      </c>
      <c r="C10" s="1" t="s">
        <v>1073</v>
      </c>
      <c r="D10" s="1" t="s">
        <v>801</v>
      </c>
      <c r="E10" s="1" t="s">
        <v>803</v>
      </c>
      <c r="F10" s="1" t="s">
        <v>317</v>
      </c>
      <c r="G10" s="1" t="s">
        <v>316</v>
      </c>
      <c r="H10" s="1" t="s">
        <v>316</v>
      </c>
      <c r="I10" s="1">
        <f>COUNTIF('Port Optimization 001'!C:C,表3[[#This Row],[Port Code]])</f>
        <v>0</v>
      </c>
      <c r="J10" s="1">
        <f>COUNTIF('Port Optimization 365'!C:C,表3[[#This Row],[Port Code]])</f>
        <v>0</v>
      </c>
    </row>
    <row r="11" spans="1:10" ht="14.5" x14ac:dyDescent="0.3">
      <c r="A11" s="1" t="s">
        <v>1084</v>
      </c>
      <c r="B11" s="1" t="s">
        <v>782</v>
      </c>
      <c r="C11" s="1" t="s">
        <v>1084</v>
      </c>
      <c r="D11" s="1" t="s">
        <v>801</v>
      </c>
      <c r="E11" s="1" t="s">
        <v>803</v>
      </c>
      <c r="F11" s="1" t="s">
        <v>784</v>
      </c>
      <c r="G11" s="1" t="s">
        <v>783</v>
      </c>
      <c r="H11" s="1" t="s">
        <v>783</v>
      </c>
      <c r="I11" s="1">
        <f>COUNTIF('Port Optimization 001'!C:C,表3[[#This Row],[Port Code]])</f>
        <v>0</v>
      </c>
      <c r="J11" s="1">
        <f>COUNTIF('Port Optimization 365'!C:C,表3[[#This Row],[Port Code]])</f>
        <v>0</v>
      </c>
    </row>
    <row r="12" spans="1:10" ht="14.5" x14ac:dyDescent="0.3">
      <c r="A12" s="1" t="s">
        <v>1075</v>
      </c>
      <c r="B12" s="1" t="s">
        <v>528</v>
      </c>
      <c r="C12" s="1" t="s">
        <v>1075</v>
      </c>
      <c r="D12" s="1" t="s">
        <v>801</v>
      </c>
      <c r="E12" s="1" t="s">
        <v>804</v>
      </c>
      <c r="F12" s="1" t="s">
        <v>531</v>
      </c>
      <c r="G12" s="1" t="s">
        <v>529</v>
      </c>
      <c r="H12" s="1" t="s">
        <v>530</v>
      </c>
      <c r="I12" s="1">
        <f>COUNTIF('Port Optimization 001'!C:C,表3[[#This Row],[Port Code]])</f>
        <v>0</v>
      </c>
      <c r="J12" s="1">
        <f>COUNTIF('Port Optimization 365'!C:C,表3[[#This Row],[Port Code]])</f>
        <v>0</v>
      </c>
    </row>
    <row r="13" spans="1:10" ht="14.5" x14ac:dyDescent="0.3">
      <c r="A13" s="1" t="s">
        <v>1077</v>
      </c>
      <c r="B13" s="1" t="s">
        <v>565</v>
      </c>
      <c r="C13" s="1" t="s">
        <v>1077</v>
      </c>
      <c r="D13" s="1" t="s">
        <v>801</v>
      </c>
      <c r="E13" s="1" t="s">
        <v>804</v>
      </c>
      <c r="F13" s="1" t="s">
        <v>531</v>
      </c>
      <c r="G13" s="1" t="s">
        <v>566</v>
      </c>
      <c r="H13" s="1" t="s">
        <v>530</v>
      </c>
      <c r="I13" s="1">
        <f>COUNTIF('Port Optimization 001'!C:C,表3[[#This Row],[Port Code]])</f>
        <v>0</v>
      </c>
      <c r="J13" s="1">
        <f>COUNTIF('Port Optimization 365'!C:C,表3[[#This Row],[Port Code]])</f>
        <v>0</v>
      </c>
    </row>
    <row r="14" spans="1:10" ht="14.5" x14ac:dyDescent="0.3">
      <c r="A14" s="1" t="s">
        <v>1081</v>
      </c>
      <c r="B14" s="1" t="s">
        <v>776</v>
      </c>
      <c r="C14" s="1" t="s">
        <v>1081</v>
      </c>
      <c r="D14" s="1" t="s">
        <v>801</v>
      </c>
      <c r="E14" s="1" t="s">
        <v>804</v>
      </c>
      <c r="F14" s="1" t="s">
        <v>778</v>
      </c>
      <c r="G14" s="1" t="s">
        <v>777</v>
      </c>
      <c r="H14" s="1" t="s">
        <v>777</v>
      </c>
      <c r="I14" s="1">
        <f>COUNTIF('Port Optimization 001'!C:C,表3[[#This Row],[Port Code]])</f>
        <v>0</v>
      </c>
      <c r="J14" s="1">
        <f>COUNTIF('Port Optimization 365'!C:C,表3[[#This Row],[Port Code]])</f>
        <v>0</v>
      </c>
    </row>
    <row r="15" spans="1:10" ht="14.5" x14ac:dyDescent="0.3">
      <c r="A15" s="1" t="s">
        <v>1074</v>
      </c>
      <c r="B15" s="1" t="s">
        <v>231</v>
      </c>
      <c r="C15" s="1" t="s">
        <v>1074</v>
      </c>
      <c r="D15" s="1" t="s">
        <v>801</v>
      </c>
      <c r="E15" s="1" t="s">
        <v>804</v>
      </c>
      <c r="F15" s="1" t="s">
        <v>234</v>
      </c>
      <c r="G15" s="1" t="s">
        <v>232</v>
      </c>
      <c r="H15" s="1" t="s">
        <v>232</v>
      </c>
      <c r="I15" s="1">
        <f>COUNTIF('Port Optimization 001'!C:C,表3[[#This Row],[Port Code]])</f>
        <v>0</v>
      </c>
      <c r="J15" s="1">
        <f>COUNTIF('Port Optimization 365'!C:C,表3[[#This Row],[Port Code]])</f>
        <v>0</v>
      </c>
    </row>
    <row r="16" spans="1:10" ht="14.5" x14ac:dyDescent="0.3">
      <c r="A16" s="1" t="s">
        <v>1085</v>
      </c>
      <c r="B16" s="1" t="s">
        <v>245</v>
      </c>
      <c r="C16" s="1" t="s">
        <v>1085</v>
      </c>
      <c r="D16" s="1" t="s">
        <v>805</v>
      </c>
      <c r="E16" s="1" t="s">
        <v>806</v>
      </c>
      <c r="F16" s="1" t="s">
        <v>247</v>
      </c>
      <c r="G16" s="1" t="s">
        <v>246</v>
      </c>
      <c r="H16" s="1" t="s">
        <v>246</v>
      </c>
      <c r="I16" s="1">
        <f>COUNTIF('Port Optimization 001'!C:C,表3[[#This Row],[Port Code]])</f>
        <v>0</v>
      </c>
      <c r="J16" s="1">
        <f>COUNTIF('Port Optimization 365'!C:C,表3[[#This Row],[Port Code]])</f>
        <v>0</v>
      </c>
    </row>
    <row r="17" spans="1:10" ht="14.5" x14ac:dyDescent="0.3">
      <c r="A17" s="1" t="s">
        <v>1086</v>
      </c>
      <c r="B17" s="1" t="s">
        <v>270</v>
      </c>
      <c r="C17" s="1" t="s">
        <v>1086</v>
      </c>
      <c r="D17" s="1" t="s">
        <v>805</v>
      </c>
      <c r="E17" s="1" t="s">
        <v>806</v>
      </c>
      <c r="F17" s="1" t="s">
        <v>272</v>
      </c>
      <c r="G17" s="1" t="s">
        <v>271</v>
      </c>
      <c r="H17" s="1" t="s">
        <v>271</v>
      </c>
      <c r="I17" s="1">
        <f>COUNTIF('Port Optimization 001'!C:C,表3[[#This Row],[Port Code]])</f>
        <v>0</v>
      </c>
      <c r="J17" s="1">
        <f>COUNTIF('Port Optimization 365'!C:C,表3[[#This Row],[Port Code]])</f>
        <v>0</v>
      </c>
    </row>
    <row r="18" spans="1:10" ht="14.5" x14ac:dyDescent="0.3">
      <c r="A18" s="1" t="s">
        <v>1087</v>
      </c>
      <c r="B18" s="1" t="s">
        <v>169</v>
      </c>
      <c r="C18" s="1" t="s">
        <v>1087</v>
      </c>
      <c r="D18" s="1" t="s">
        <v>805</v>
      </c>
      <c r="E18" s="1" t="s">
        <v>807</v>
      </c>
      <c r="F18" s="1" t="s">
        <v>173</v>
      </c>
      <c r="G18" s="1" t="s">
        <v>171</v>
      </c>
      <c r="H18" s="1" t="s">
        <v>171</v>
      </c>
      <c r="I18" s="1">
        <f>COUNTIF('Port Optimization 001'!C:C,表3[[#This Row],[Port Code]])</f>
        <v>0</v>
      </c>
      <c r="J18" s="1">
        <f>COUNTIF('Port Optimization 365'!C:C,表3[[#This Row],[Port Code]])</f>
        <v>0</v>
      </c>
    </row>
    <row r="19" spans="1:10" ht="14.5" x14ac:dyDescent="0.3">
      <c r="A19" s="1" t="s">
        <v>1088</v>
      </c>
      <c r="B19" s="1" t="s">
        <v>261</v>
      </c>
      <c r="C19" s="1" t="s">
        <v>1088</v>
      </c>
      <c r="D19" s="1" t="s">
        <v>805</v>
      </c>
      <c r="E19" s="1" t="s">
        <v>808</v>
      </c>
      <c r="F19" s="1" t="s">
        <v>263</v>
      </c>
      <c r="G19" s="1" t="s">
        <v>262</v>
      </c>
      <c r="H19" s="1" t="s">
        <v>262</v>
      </c>
      <c r="I19" s="1">
        <f>COUNTIF('Port Optimization 001'!C:C,表3[[#This Row],[Port Code]])</f>
        <v>0</v>
      </c>
      <c r="J19" s="1">
        <f>COUNTIF('Port Optimization 365'!C:C,表3[[#This Row],[Port Code]])</f>
        <v>0</v>
      </c>
    </row>
    <row r="20" spans="1:10" ht="14.5" x14ac:dyDescent="0.3">
      <c r="A20" s="1" t="s">
        <v>1089</v>
      </c>
      <c r="B20" s="1" t="s">
        <v>264</v>
      </c>
      <c r="C20" s="1" t="s">
        <v>1089</v>
      </c>
      <c r="D20" s="1" t="s">
        <v>805</v>
      </c>
      <c r="E20" s="1" t="s">
        <v>809</v>
      </c>
      <c r="F20" s="1" t="s">
        <v>266</v>
      </c>
      <c r="G20" s="1" t="s">
        <v>265</v>
      </c>
      <c r="H20" s="1" t="s">
        <v>265</v>
      </c>
      <c r="I20" s="1">
        <f>COUNTIF('Port Optimization 001'!C:C,表3[[#This Row],[Port Code]])</f>
        <v>0</v>
      </c>
      <c r="J20" s="1">
        <f>COUNTIF('Port Optimization 365'!C:C,表3[[#This Row],[Port Code]])</f>
        <v>0</v>
      </c>
    </row>
    <row r="21" spans="1:10" ht="14.5" x14ac:dyDescent="0.3">
      <c r="A21" s="1" t="s">
        <v>1090</v>
      </c>
      <c r="B21" s="1" t="s">
        <v>291</v>
      </c>
      <c r="C21" s="1" t="s">
        <v>1090</v>
      </c>
      <c r="D21" s="1" t="s">
        <v>805</v>
      </c>
      <c r="E21" s="1" t="s">
        <v>807</v>
      </c>
      <c r="F21" s="1" t="s">
        <v>293</v>
      </c>
      <c r="G21" s="1" t="s">
        <v>292</v>
      </c>
      <c r="H21" s="1" t="s">
        <v>292</v>
      </c>
      <c r="I21" s="1">
        <f>COUNTIF('Port Optimization 001'!C:C,表3[[#This Row],[Port Code]])</f>
        <v>0</v>
      </c>
      <c r="J21" s="1">
        <f>COUNTIF('Port Optimization 365'!C:C,表3[[#This Row],[Port Code]])</f>
        <v>0</v>
      </c>
    </row>
    <row r="22" spans="1:10" ht="14.5" x14ac:dyDescent="0.3">
      <c r="A22" s="1" t="s">
        <v>1091</v>
      </c>
      <c r="B22" s="1" t="s">
        <v>8</v>
      </c>
      <c r="C22" s="1" t="s">
        <v>1091</v>
      </c>
      <c r="D22" s="1" t="s">
        <v>805</v>
      </c>
      <c r="E22" s="1" t="s">
        <v>809</v>
      </c>
      <c r="F22" s="1" t="s">
        <v>13</v>
      </c>
      <c r="G22" s="1" t="s">
        <v>10</v>
      </c>
      <c r="H22" s="1" t="s">
        <v>10</v>
      </c>
      <c r="I22" s="1">
        <f>COUNTIF('Port Optimization 001'!C:C,表3[[#This Row],[Port Code]])</f>
        <v>0</v>
      </c>
      <c r="J22" s="1">
        <f>COUNTIF('Port Optimization 365'!C:C,表3[[#This Row],[Port Code]])</f>
        <v>0</v>
      </c>
    </row>
    <row r="23" spans="1:10" ht="14.5" x14ac:dyDescent="0.3">
      <c r="A23" s="1" t="s">
        <v>1092</v>
      </c>
      <c r="B23" s="1" t="s">
        <v>267</v>
      </c>
      <c r="C23" s="1" t="s">
        <v>1092</v>
      </c>
      <c r="D23" s="1" t="s">
        <v>805</v>
      </c>
      <c r="E23" s="1" t="s">
        <v>810</v>
      </c>
      <c r="F23" s="1" t="s">
        <v>269</v>
      </c>
      <c r="G23" s="1" t="s">
        <v>268</v>
      </c>
      <c r="H23" s="1" t="s">
        <v>268</v>
      </c>
      <c r="I23" s="1">
        <f>COUNTIF('Port Optimization 001'!C:C,表3[[#This Row],[Port Code]])</f>
        <v>0</v>
      </c>
      <c r="J23" s="1">
        <f>COUNTIF('Port Optimization 365'!C:C,表3[[#This Row],[Port Code]])</f>
        <v>0</v>
      </c>
    </row>
    <row r="24" spans="1:10" ht="14.5" x14ac:dyDescent="0.3">
      <c r="A24" s="1" t="s">
        <v>1093</v>
      </c>
      <c r="B24" s="1" t="s">
        <v>294</v>
      </c>
      <c r="C24" s="1" t="s">
        <v>1093</v>
      </c>
      <c r="D24" s="1" t="s">
        <v>805</v>
      </c>
      <c r="E24" s="1" t="s">
        <v>810</v>
      </c>
      <c r="F24" s="1" t="s">
        <v>296</v>
      </c>
      <c r="G24" s="1" t="s">
        <v>295</v>
      </c>
      <c r="H24" s="1" t="s">
        <v>295</v>
      </c>
      <c r="I24" s="1">
        <f>COUNTIF('Port Optimization 001'!C:C,表3[[#This Row],[Port Code]])</f>
        <v>0</v>
      </c>
      <c r="J24" s="1">
        <f>COUNTIF('Port Optimization 365'!C:C,表3[[#This Row],[Port Code]])</f>
        <v>0</v>
      </c>
    </row>
    <row r="25" spans="1:10" ht="14.5" x14ac:dyDescent="0.3">
      <c r="A25" s="1" t="s">
        <v>1094</v>
      </c>
      <c r="B25" s="1" t="s">
        <v>300</v>
      </c>
      <c r="C25" s="1" t="s">
        <v>1094</v>
      </c>
      <c r="D25" s="1" t="s">
        <v>805</v>
      </c>
      <c r="E25" s="1" t="s">
        <v>810</v>
      </c>
      <c r="F25" s="1" t="s">
        <v>302</v>
      </c>
      <c r="G25" s="1" t="s">
        <v>301</v>
      </c>
      <c r="H25" s="1" t="s">
        <v>301</v>
      </c>
      <c r="I25" s="1">
        <f>COUNTIF('Port Optimization 001'!C:C,表3[[#This Row],[Port Code]])</f>
        <v>0</v>
      </c>
      <c r="J25" s="1">
        <f>COUNTIF('Port Optimization 365'!C:C,表3[[#This Row],[Port Code]])</f>
        <v>0</v>
      </c>
    </row>
    <row r="26" spans="1:10" ht="14.5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10" ht="14.5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10" ht="14.5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0" ht="14.5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0" ht="14.5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0" ht="14.5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0" ht="14.5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4.5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4.5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4.5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4.5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4.5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4.5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4.5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4.5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4.5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4.5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4.5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4.5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4.5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14.5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ht="14.5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ht="14.5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ht="14.5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ht="14.5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ht="14.5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ht="14.5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ht="14.5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14.5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ht="14.5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ht="14.5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ht="14.5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ht="14.5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ht="14.5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ht="14.5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ht="14.5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14.5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ht="14.5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ht="14.5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ht="14.5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ht="14.5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ht="14.5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ht="14.5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ht="14.5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14.5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ht="14.5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ht="14.5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ht="14.5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ht="14.5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ht="14.5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ht="14.5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ht="14.5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14.5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ht="14.5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ht="14.5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ht="14.5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ht="14.5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ht="14.5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ht="14.5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ht="14.5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ht="14.5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ht="14.5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ht="14.5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ht="14.5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ht="14.5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ht="14.5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ht="14.5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ht="14.5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ht="14.5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ht="14.5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ht="14.5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ht="14.5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ht="14.5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ht="14.5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ht="14.5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4.5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4.5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4.5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4.5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4.5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4.5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4.5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4.5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4.5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4.5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4.5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4.5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4.5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4.5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4.5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4.5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4.5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4.5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4.5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4.5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4.5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4.5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4.5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4.5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4.5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4.5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4.5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4.5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4.5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4.5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4.5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4.5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4.5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4.5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4.5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4.5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4.5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4.5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4.5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4.5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4.5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4.5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4.5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4.5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4.5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4.5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4.5" x14ac:dyDescent="0.3">
      <c r="A147" s="1"/>
      <c r="B147" s="1"/>
      <c r="C147" s="1"/>
      <c r="D147" s="1"/>
      <c r="E147" s="1"/>
      <c r="F147" s="1"/>
      <c r="G147" s="1"/>
      <c r="H147" s="1"/>
      <c r="I147" s="1"/>
    </row>
  </sheetData>
  <phoneticPr fontId="1" type="noConversion"/>
  <pageMargins left="0.7" right="0.7" top="0.75" bottom="0.75" header="0.3" footer="0.3"/>
  <ignoredErrors>
    <ignoredError sqref="I2:J25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64CF-02C6-4B96-B989-D31F5CD144DD}">
  <dimension ref="A1:K314"/>
  <sheetViews>
    <sheetView topLeftCell="A263" zoomScale="85" zoomScaleNormal="85" workbookViewId="0">
      <selection activeCell="F287" sqref="F287"/>
    </sheetView>
  </sheetViews>
  <sheetFormatPr defaultRowHeight="14.5" x14ac:dyDescent="0.3"/>
  <cols>
    <col min="1" max="1" width="40.58203125" style="1" bestFit="1" customWidth="1"/>
    <col min="2" max="2" width="33.75" style="1" bestFit="1" customWidth="1"/>
    <col min="3" max="3" width="40.58203125" style="1" bestFit="1" customWidth="1"/>
    <col min="4" max="4" width="31.58203125" style="1" bestFit="1" customWidth="1"/>
    <col min="5" max="5" width="36.75" style="1" bestFit="1" customWidth="1"/>
    <col min="6" max="6" width="11.58203125" style="1" bestFit="1" customWidth="1"/>
    <col min="7" max="7" width="53.58203125" style="1" bestFit="1" customWidth="1"/>
    <col min="8" max="8" width="45.58203125" style="1" bestFit="1" customWidth="1"/>
    <col min="9" max="9" width="10.75" style="1" bestFit="1" customWidth="1"/>
    <col min="10" max="10" width="10.4140625" style="1" customWidth="1"/>
    <col min="11" max="16384" width="8.6640625" style="1"/>
  </cols>
  <sheetData>
    <row r="1" spans="1:9" x14ac:dyDescent="0.3">
      <c r="A1" s="1" t="s">
        <v>3</v>
      </c>
      <c r="B1" s="1" t="s">
        <v>811</v>
      </c>
      <c r="C1" s="1" t="s">
        <v>797</v>
      </c>
      <c r="D1" s="1" t="s">
        <v>798</v>
      </c>
      <c r="E1" s="1" t="s">
        <v>799</v>
      </c>
      <c r="F1" s="1" t="s">
        <v>800</v>
      </c>
      <c r="G1" s="1" t="s">
        <v>5</v>
      </c>
      <c r="H1" s="1" t="s">
        <v>7</v>
      </c>
      <c r="I1" s="1" t="s">
        <v>812</v>
      </c>
    </row>
    <row r="2" spans="1:9" x14ac:dyDescent="0.3">
      <c r="A2" s="1" t="s">
        <v>1095</v>
      </c>
      <c r="B2" s="1" t="s">
        <v>813</v>
      </c>
      <c r="C2" s="1" t="s">
        <v>1095</v>
      </c>
      <c r="D2" s="1" t="s">
        <v>814</v>
      </c>
      <c r="E2" s="1" t="s">
        <v>815</v>
      </c>
      <c r="F2" s="1" t="s">
        <v>816</v>
      </c>
      <c r="G2" s="1" t="s">
        <v>817</v>
      </c>
      <c r="H2" s="1" t="s">
        <v>81</v>
      </c>
      <c r="I2" s="1" t="s">
        <v>1096</v>
      </c>
    </row>
    <row r="3" spans="1:9" x14ac:dyDescent="0.3">
      <c r="A3" s="1" t="s">
        <v>1097</v>
      </c>
      <c r="B3" s="1" t="s">
        <v>592</v>
      </c>
      <c r="C3" s="1" t="s">
        <v>1097</v>
      </c>
      <c r="D3" s="1" t="s">
        <v>814</v>
      </c>
      <c r="E3" s="1" t="s">
        <v>815</v>
      </c>
      <c r="F3" s="1" t="s">
        <v>594</v>
      </c>
      <c r="G3" s="1" t="s">
        <v>593</v>
      </c>
      <c r="H3" s="1" t="s">
        <v>81</v>
      </c>
      <c r="I3" s="1" t="s">
        <v>1096</v>
      </c>
    </row>
    <row r="4" spans="1:9" x14ac:dyDescent="0.3">
      <c r="A4" s="1" t="s">
        <v>1098</v>
      </c>
      <c r="B4" s="1" t="s">
        <v>79</v>
      </c>
      <c r="C4" s="1" t="s">
        <v>1098</v>
      </c>
      <c r="D4" s="1" t="s">
        <v>814</v>
      </c>
      <c r="E4" s="1" t="s">
        <v>818</v>
      </c>
      <c r="F4" s="1" t="s">
        <v>82</v>
      </c>
      <c r="G4" s="1" t="s">
        <v>80</v>
      </c>
      <c r="H4" s="1" t="s">
        <v>81</v>
      </c>
      <c r="I4" s="1" t="s">
        <v>1096</v>
      </c>
    </row>
    <row r="5" spans="1:9" x14ac:dyDescent="0.3">
      <c r="A5" s="1" t="s">
        <v>1099</v>
      </c>
      <c r="B5" s="1" t="s">
        <v>708</v>
      </c>
      <c r="C5" s="1" t="s">
        <v>1099</v>
      </c>
      <c r="D5" s="1" t="s">
        <v>814</v>
      </c>
      <c r="E5" s="1" t="s">
        <v>818</v>
      </c>
      <c r="F5" s="1" t="s">
        <v>710</v>
      </c>
      <c r="G5" s="1" t="s">
        <v>709</v>
      </c>
      <c r="H5" s="1" t="s">
        <v>81</v>
      </c>
      <c r="I5" s="1" t="s">
        <v>1096</v>
      </c>
    </row>
    <row r="6" spans="1:9" x14ac:dyDescent="0.3">
      <c r="A6" s="1" t="s">
        <v>1100</v>
      </c>
      <c r="B6" s="1" t="s">
        <v>219</v>
      </c>
      <c r="C6" s="1" t="s">
        <v>1100</v>
      </c>
      <c r="D6" s="1" t="s">
        <v>814</v>
      </c>
      <c r="E6" s="1" t="s">
        <v>815</v>
      </c>
      <c r="F6" s="1" t="s">
        <v>221</v>
      </c>
      <c r="G6" s="1" t="s">
        <v>220</v>
      </c>
      <c r="H6" s="1" t="s">
        <v>81</v>
      </c>
      <c r="I6" s="1" t="s">
        <v>1096</v>
      </c>
    </row>
    <row r="7" spans="1:9" x14ac:dyDescent="0.3">
      <c r="A7" s="1" t="s">
        <v>1101</v>
      </c>
      <c r="B7" s="1" t="s">
        <v>598</v>
      </c>
      <c r="C7" s="1" t="s">
        <v>1101</v>
      </c>
      <c r="D7" s="1" t="s">
        <v>814</v>
      </c>
      <c r="E7" s="1" t="s">
        <v>819</v>
      </c>
      <c r="F7" s="1" t="s">
        <v>600</v>
      </c>
      <c r="G7" s="1" t="s">
        <v>599</v>
      </c>
      <c r="H7" s="1" t="s">
        <v>81</v>
      </c>
      <c r="I7" s="1" t="s">
        <v>1096</v>
      </c>
    </row>
    <row r="8" spans="1:9" x14ac:dyDescent="0.3">
      <c r="A8" s="1" t="s">
        <v>1102</v>
      </c>
      <c r="B8" s="1" t="s">
        <v>601</v>
      </c>
      <c r="C8" s="1" t="s">
        <v>1102</v>
      </c>
      <c r="D8" s="1" t="s">
        <v>814</v>
      </c>
      <c r="E8" s="1" t="s">
        <v>815</v>
      </c>
      <c r="F8" s="1" t="s">
        <v>603</v>
      </c>
      <c r="G8" s="1" t="s">
        <v>602</v>
      </c>
      <c r="H8" s="1" t="s">
        <v>81</v>
      </c>
      <c r="I8" s="1" t="s">
        <v>1096</v>
      </c>
    </row>
    <row r="9" spans="1:9" x14ac:dyDescent="0.3">
      <c r="A9" s="1" t="s">
        <v>1103</v>
      </c>
      <c r="B9" s="1" t="s">
        <v>92</v>
      </c>
      <c r="C9" s="1" t="s">
        <v>1103</v>
      </c>
      <c r="D9" s="1" t="s">
        <v>814</v>
      </c>
      <c r="E9" s="1" t="s">
        <v>818</v>
      </c>
      <c r="F9" s="1" t="s">
        <v>94</v>
      </c>
      <c r="G9" s="1" t="s">
        <v>93</v>
      </c>
      <c r="H9" s="1" t="s">
        <v>81</v>
      </c>
      <c r="I9" s="1" t="s">
        <v>1096</v>
      </c>
    </row>
    <row r="10" spans="1:9" x14ac:dyDescent="0.3">
      <c r="A10" s="1" t="s">
        <v>1104</v>
      </c>
      <c r="B10" s="1" t="s">
        <v>820</v>
      </c>
      <c r="C10" s="1" t="s">
        <v>1104</v>
      </c>
      <c r="D10" s="1" t="s">
        <v>814</v>
      </c>
      <c r="E10" s="1" t="s">
        <v>818</v>
      </c>
      <c r="F10" s="1" t="s">
        <v>821</v>
      </c>
      <c r="G10" s="1" t="s">
        <v>822</v>
      </c>
      <c r="H10" s="1" t="s">
        <v>81</v>
      </c>
      <c r="I10" s="1" t="s">
        <v>1096</v>
      </c>
    </row>
    <row r="11" spans="1:9" x14ac:dyDescent="0.3">
      <c r="A11" s="1" t="s">
        <v>1105</v>
      </c>
      <c r="B11" s="1" t="s">
        <v>595</v>
      </c>
      <c r="C11" s="1" t="s">
        <v>1105</v>
      </c>
      <c r="D11" s="1" t="s">
        <v>814</v>
      </c>
      <c r="E11" s="1" t="s">
        <v>818</v>
      </c>
      <c r="F11" s="1" t="s">
        <v>597</v>
      </c>
      <c r="G11" s="1" t="s">
        <v>596</v>
      </c>
      <c r="H11" s="1" t="s">
        <v>81</v>
      </c>
      <c r="I11" s="1" t="s">
        <v>1096</v>
      </c>
    </row>
    <row r="12" spans="1:9" x14ac:dyDescent="0.3">
      <c r="A12" s="1" t="s">
        <v>1106</v>
      </c>
      <c r="B12" s="1" t="s">
        <v>228</v>
      </c>
      <c r="C12" s="1" t="s">
        <v>1106</v>
      </c>
      <c r="D12" s="1" t="s">
        <v>814</v>
      </c>
      <c r="E12" s="1" t="s">
        <v>818</v>
      </c>
      <c r="F12" s="1" t="s">
        <v>230</v>
      </c>
      <c r="G12" s="1" t="s">
        <v>229</v>
      </c>
      <c r="H12" s="1" t="s">
        <v>81</v>
      </c>
      <c r="I12" s="1" t="s">
        <v>1096</v>
      </c>
    </row>
    <row r="13" spans="1:9" x14ac:dyDescent="0.3">
      <c r="A13" s="1" t="s">
        <v>1107</v>
      </c>
      <c r="B13" s="1" t="s">
        <v>711</v>
      </c>
      <c r="C13" s="1" t="s">
        <v>1107</v>
      </c>
      <c r="D13" s="1" t="s">
        <v>814</v>
      </c>
      <c r="E13" s="1" t="s">
        <v>818</v>
      </c>
      <c r="F13" s="1" t="s">
        <v>713</v>
      </c>
      <c r="G13" s="1" t="s">
        <v>712</v>
      </c>
      <c r="H13" s="1" t="s">
        <v>81</v>
      </c>
      <c r="I13" s="1" t="s">
        <v>1096</v>
      </c>
    </row>
    <row r="14" spans="1:9" x14ac:dyDescent="0.3">
      <c r="A14" s="1" t="s">
        <v>1108</v>
      </c>
      <c r="B14" s="1" t="s">
        <v>222</v>
      </c>
      <c r="C14" s="1" t="s">
        <v>1108</v>
      </c>
      <c r="D14" s="1" t="s">
        <v>814</v>
      </c>
      <c r="E14" s="1" t="s">
        <v>818</v>
      </c>
      <c r="F14" s="1" t="s">
        <v>224</v>
      </c>
      <c r="G14" s="1" t="s">
        <v>223</v>
      </c>
      <c r="H14" s="1" t="s">
        <v>81</v>
      </c>
      <c r="I14" s="1" t="s">
        <v>1096</v>
      </c>
    </row>
    <row r="15" spans="1:9" x14ac:dyDescent="0.3">
      <c r="A15" s="1" t="s">
        <v>1109</v>
      </c>
      <c r="B15" s="1" t="s">
        <v>438</v>
      </c>
      <c r="C15" s="1" t="s">
        <v>1109</v>
      </c>
      <c r="D15" s="1" t="s">
        <v>814</v>
      </c>
      <c r="E15" s="1" t="s">
        <v>818</v>
      </c>
      <c r="F15" s="1" t="s">
        <v>440</v>
      </c>
      <c r="G15" s="1" t="s">
        <v>439</v>
      </c>
      <c r="H15" s="1" t="s">
        <v>81</v>
      </c>
      <c r="I15" s="1" t="s">
        <v>1096</v>
      </c>
    </row>
    <row r="16" spans="1:9" x14ac:dyDescent="0.3">
      <c r="A16" s="1" t="s">
        <v>1110</v>
      </c>
      <c r="B16" s="1" t="s">
        <v>718</v>
      </c>
      <c r="C16" s="1" t="s">
        <v>1110</v>
      </c>
      <c r="D16" s="1" t="s">
        <v>814</v>
      </c>
      <c r="E16" s="1" t="s">
        <v>815</v>
      </c>
      <c r="F16" s="1" t="s">
        <v>720</v>
      </c>
      <c r="G16" s="1" t="s">
        <v>719</v>
      </c>
      <c r="H16" s="1" t="s">
        <v>81</v>
      </c>
      <c r="I16" s="1" t="s">
        <v>1096</v>
      </c>
    </row>
    <row r="17" spans="1:9" x14ac:dyDescent="0.3">
      <c r="A17" s="1" t="s">
        <v>1111</v>
      </c>
      <c r="B17" s="1" t="s">
        <v>823</v>
      </c>
      <c r="C17" s="1" t="s">
        <v>1111</v>
      </c>
      <c r="D17" s="1" t="s">
        <v>814</v>
      </c>
      <c r="E17" s="1" t="s">
        <v>815</v>
      </c>
      <c r="F17" s="1" t="s">
        <v>824</v>
      </c>
      <c r="G17" s="1" t="s">
        <v>825</v>
      </c>
      <c r="H17" s="1" t="s">
        <v>81</v>
      </c>
      <c r="I17" s="1" t="s">
        <v>1096</v>
      </c>
    </row>
    <row r="18" spans="1:9" x14ac:dyDescent="0.3">
      <c r="A18" s="1" t="s">
        <v>1112</v>
      </c>
      <c r="B18" s="1" t="s">
        <v>721</v>
      </c>
      <c r="C18" s="1" t="s">
        <v>1112</v>
      </c>
      <c r="D18" s="1" t="s">
        <v>814</v>
      </c>
      <c r="E18" s="1" t="s">
        <v>818</v>
      </c>
      <c r="F18" s="1" t="s">
        <v>723</v>
      </c>
      <c r="G18" s="1" t="s">
        <v>722</v>
      </c>
      <c r="H18" s="1" t="s">
        <v>81</v>
      </c>
      <c r="I18" s="1" t="s">
        <v>1096</v>
      </c>
    </row>
    <row r="19" spans="1:9" x14ac:dyDescent="0.3">
      <c r="A19" s="1" t="s">
        <v>1113</v>
      </c>
      <c r="B19" s="1" t="s">
        <v>225</v>
      </c>
      <c r="C19" s="1" t="s">
        <v>1113</v>
      </c>
      <c r="D19" s="1" t="s">
        <v>814</v>
      </c>
      <c r="E19" s="1" t="s">
        <v>819</v>
      </c>
      <c r="F19" s="1" t="s">
        <v>227</v>
      </c>
      <c r="G19" s="1" t="s">
        <v>226</v>
      </c>
      <c r="H19" s="1" t="s">
        <v>81</v>
      </c>
      <c r="I19" s="1" t="s">
        <v>1096</v>
      </c>
    </row>
    <row r="20" spans="1:9" x14ac:dyDescent="0.3">
      <c r="A20" s="1" t="s">
        <v>1114</v>
      </c>
      <c r="B20" s="1" t="s">
        <v>728</v>
      </c>
      <c r="C20" s="1" t="s">
        <v>1114</v>
      </c>
      <c r="D20" s="1" t="s">
        <v>814</v>
      </c>
      <c r="E20" s="1" t="s">
        <v>818</v>
      </c>
      <c r="F20" s="1" t="s">
        <v>730</v>
      </c>
      <c r="G20" s="1" t="s">
        <v>729</v>
      </c>
      <c r="H20" s="1" t="s">
        <v>81</v>
      </c>
      <c r="I20" s="1" t="s">
        <v>1096</v>
      </c>
    </row>
    <row r="21" spans="1:9" x14ac:dyDescent="0.3">
      <c r="A21" s="1" t="s">
        <v>1115</v>
      </c>
      <c r="B21" s="1" t="s">
        <v>343</v>
      </c>
      <c r="C21" s="1" t="s">
        <v>1115</v>
      </c>
      <c r="D21" s="1" t="s">
        <v>805</v>
      </c>
      <c r="E21" s="1" t="s">
        <v>826</v>
      </c>
      <c r="F21" s="1" t="s">
        <v>345</v>
      </c>
      <c r="G21" s="1" t="s">
        <v>344</v>
      </c>
      <c r="H21" s="1" t="s">
        <v>250</v>
      </c>
      <c r="I21" s="1" t="s">
        <v>1116</v>
      </c>
    </row>
    <row r="22" spans="1:9" x14ac:dyDescent="0.3">
      <c r="A22" s="1" t="s">
        <v>1117</v>
      </c>
      <c r="B22" s="1" t="s">
        <v>486</v>
      </c>
      <c r="C22" s="1" t="s">
        <v>1117</v>
      </c>
      <c r="D22" s="1" t="s">
        <v>805</v>
      </c>
      <c r="E22" s="1" t="s">
        <v>827</v>
      </c>
      <c r="F22" s="1" t="s">
        <v>488</v>
      </c>
      <c r="G22" s="1" t="s">
        <v>487</v>
      </c>
      <c r="H22" s="1" t="s">
        <v>250</v>
      </c>
      <c r="I22" s="1" t="s">
        <v>1116</v>
      </c>
    </row>
    <row r="23" spans="1:9" x14ac:dyDescent="0.3">
      <c r="A23" s="1" t="s">
        <v>1118</v>
      </c>
      <c r="B23" s="1" t="s">
        <v>740</v>
      </c>
      <c r="C23" s="1" t="s">
        <v>1118</v>
      </c>
      <c r="D23" s="1" t="s">
        <v>805</v>
      </c>
      <c r="E23" s="1" t="s">
        <v>826</v>
      </c>
      <c r="F23" s="1" t="s">
        <v>742</v>
      </c>
      <c r="G23" s="1" t="s">
        <v>741</v>
      </c>
      <c r="H23" s="1" t="s">
        <v>250</v>
      </c>
      <c r="I23" s="1" t="s">
        <v>1116</v>
      </c>
    </row>
    <row r="24" spans="1:9" x14ac:dyDescent="0.3">
      <c r="A24" s="1" t="s">
        <v>1119</v>
      </c>
      <c r="B24" s="1" t="s">
        <v>248</v>
      </c>
      <c r="C24" s="1" t="s">
        <v>1119</v>
      </c>
      <c r="D24" s="1" t="s">
        <v>805</v>
      </c>
      <c r="E24" s="1" t="s">
        <v>828</v>
      </c>
      <c r="F24" s="1" t="s">
        <v>251</v>
      </c>
      <c r="G24" s="1" t="s">
        <v>249</v>
      </c>
      <c r="H24" s="1" t="s">
        <v>250</v>
      </c>
      <c r="I24" s="1" t="s">
        <v>1116</v>
      </c>
    </row>
    <row r="25" spans="1:9" x14ac:dyDescent="0.3">
      <c r="A25" s="1" t="s">
        <v>1120</v>
      </c>
      <c r="B25" s="1" t="s">
        <v>492</v>
      </c>
      <c r="C25" s="1" t="s">
        <v>1120</v>
      </c>
      <c r="D25" s="1" t="s">
        <v>805</v>
      </c>
      <c r="E25" s="1" t="s">
        <v>828</v>
      </c>
      <c r="F25" s="1" t="s">
        <v>494</v>
      </c>
      <c r="G25" s="1" t="s">
        <v>493</v>
      </c>
      <c r="H25" s="1" t="s">
        <v>250</v>
      </c>
      <c r="I25" s="1" t="s">
        <v>1116</v>
      </c>
    </row>
    <row r="26" spans="1:9" x14ac:dyDescent="0.3">
      <c r="A26" s="1" t="s">
        <v>1121</v>
      </c>
      <c r="B26" s="1" t="s">
        <v>255</v>
      </c>
      <c r="C26" s="1" t="s">
        <v>1121</v>
      </c>
      <c r="D26" s="1" t="s">
        <v>805</v>
      </c>
      <c r="E26" s="1" t="s">
        <v>828</v>
      </c>
      <c r="F26" s="1" t="s">
        <v>257</v>
      </c>
      <c r="G26" s="1" t="s">
        <v>256</v>
      </c>
      <c r="H26" s="1" t="s">
        <v>250</v>
      </c>
      <c r="I26" s="1" t="s">
        <v>1116</v>
      </c>
    </row>
    <row r="27" spans="1:9" x14ac:dyDescent="0.3">
      <c r="A27" s="1" t="s">
        <v>1122</v>
      </c>
      <c r="B27" s="1" t="s">
        <v>829</v>
      </c>
      <c r="C27" s="1" t="s">
        <v>1122</v>
      </c>
      <c r="D27" s="1" t="s">
        <v>805</v>
      </c>
      <c r="E27" s="1" t="s">
        <v>828</v>
      </c>
      <c r="F27" s="1" t="s">
        <v>830</v>
      </c>
      <c r="G27" s="1" t="s">
        <v>831</v>
      </c>
      <c r="H27" s="1" t="s">
        <v>250</v>
      </c>
      <c r="I27" s="1" t="s">
        <v>1116</v>
      </c>
    </row>
    <row r="28" spans="1:9" x14ac:dyDescent="0.3">
      <c r="A28" s="1" t="s">
        <v>1123</v>
      </c>
      <c r="B28" s="1" t="s">
        <v>773</v>
      </c>
      <c r="C28" s="1" t="s">
        <v>1123</v>
      </c>
      <c r="D28" s="1" t="s">
        <v>805</v>
      </c>
      <c r="E28" s="1" t="s">
        <v>828</v>
      </c>
      <c r="F28" s="1" t="s">
        <v>775</v>
      </c>
      <c r="G28" s="1" t="s">
        <v>774</v>
      </c>
      <c r="H28" s="1" t="s">
        <v>250</v>
      </c>
      <c r="I28" s="1" t="s">
        <v>1116</v>
      </c>
    </row>
    <row r="29" spans="1:9" x14ac:dyDescent="0.3">
      <c r="A29" s="1" t="s">
        <v>1092</v>
      </c>
      <c r="B29" s="1" t="s">
        <v>267</v>
      </c>
      <c r="C29" s="1" t="s">
        <v>1092</v>
      </c>
      <c r="D29" s="1" t="s">
        <v>805</v>
      </c>
      <c r="E29" s="1" t="s">
        <v>832</v>
      </c>
      <c r="F29" s="1" t="s">
        <v>269</v>
      </c>
      <c r="G29" s="1" t="s">
        <v>268</v>
      </c>
      <c r="H29" s="1" t="s">
        <v>250</v>
      </c>
      <c r="I29" s="1" t="s">
        <v>1116</v>
      </c>
    </row>
    <row r="30" spans="1:9" x14ac:dyDescent="0.3">
      <c r="A30" s="1" t="s">
        <v>1124</v>
      </c>
      <c r="B30" s="1" t="s">
        <v>623</v>
      </c>
      <c r="C30" s="1" t="s">
        <v>1124</v>
      </c>
      <c r="D30" s="1" t="s">
        <v>805</v>
      </c>
      <c r="E30" s="1" t="s">
        <v>832</v>
      </c>
      <c r="F30" s="1" t="s">
        <v>625</v>
      </c>
      <c r="G30" s="1" t="s">
        <v>624</v>
      </c>
      <c r="H30" s="1" t="s">
        <v>250</v>
      </c>
      <c r="I30" s="1" t="s">
        <v>1116</v>
      </c>
    </row>
    <row r="31" spans="1:9" x14ac:dyDescent="0.3">
      <c r="A31" s="1" t="s">
        <v>1125</v>
      </c>
      <c r="B31" s="1" t="s">
        <v>273</v>
      </c>
      <c r="C31" s="1" t="s">
        <v>1125</v>
      </c>
      <c r="D31" s="1" t="s">
        <v>805</v>
      </c>
      <c r="E31" s="1" t="s">
        <v>827</v>
      </c>
      <c r="F31" s="1" t="s">
        <v>275</v>
      </c>
      <c r="G31" s="1" t="s">
        <v>274</v>
      </c>
      <c r="H31" s="1" t="s">
        <v>250</v>
      </c>
      <c r="I31" s="1" t="s">
        <v>1116</v>
      </c>
    </row>
    <row r="32" spans="1:9" x14ac:dyDescent="0.3">
      <c r="A32" s="1" t="s">
        <v>1126</v>
      </c>
      <c r="B32" s="1" t="s">
        <v>276</v>
      </c>
      <c r="C32" s="1" t="s">
        <v>1126</v>
      </c>
      <c r="D32" s="1" t="s">
        <v>805</v>
      </c>
      <c r="E32" s="1" t="s">
        <v>827</v>
      </c>
      <c r="F32" s="1" t="s">
        <v>278</v>
      </c>
      <c r="G32" s="1" t="s">
        <v>277</v>
      </c>
      <c r="H32" s="1" t="s">
        <v>250</v>
      </c>
      <c r="I32" s="1" t="s">
        <v>1116</v>
      </c>
    </row>
    <row r="33" spans="1:9" x14ac:dyDescent="0.3">
      <c r="A33" s="1" t="s">
        <v>1127</v>
      </c>
      <c r="B33" s="1" t="s">
        <v>279</v>
      </c>
      <c r="C33" s="1" t="s">
        <v>1127</v>
      </c>
      <c r="D33" s="1" t="s">
        <v>805</v>
      </c>
      <c r="E33" s="1" t="s">
        <v>832</v>
      </c>
      <c r="F33" s="1" t="s">
        <v>281</v>
      </c>
      <c r="G33" s="1" t="s">
        <v>280</v>
      </c>
      <c r="H33" s="1" t="s">
        <v>250</v>
      </c>
      <c r="I33" s="1" t="s">
        <v>1116</v>
      </c>
    </row>
    <row r="34" spans="1:9" x14ac:dyDescent="0.3">
      <c r="A34" s="1" t="s">
        <v>1093</v>
      </c>
      <c r="B34" s="1" t="s">
        <v>294</v>
      </c>
      <c r="C34" s="1" t="s">
        <v>1093</v>
      </c>
      <c r="D34" s="1" t="s">
        <v>805</v>
      </c>
      <c r="E34" s="1" t="s">
        <v>832</v>
      </c>
      <c r="F34" s="1" t="s">
        <v>296</v>
      </c>
      <c r="G34" s="1" t="s">
        <v>295</v>
      </c>
      <c r="H34" s="1" t="s">
        <v>250</v>
      </c>
      <c r="I34" s="1" t="s">
        <v>1116</v>
      </c>
    </row>
    <row r="35" spans="1:9" x14ac:dyDescent="0.3">
      <c r="A35" s="1" t="s">
        <v>1128</v>
      </c>
      <c r="B35" s="1" t="s">
        <v>330</v>
      </c>
      <c r="C35" s="1" t="s">
        <v>1128</v>
      </c>
      <c r="D35" s="1" t="s">
        <v>805</v>
      </c>
      <c r="E35" s="1" t="s">
        <v>827</v>
      </c>
      <c r="F35" s="1" t="s">
        <v>332</v>
      </c>
      <c r="G35" s="1" t="s">
        <v>331</v>
      </c>
      <c r="H35" s="1" t="s">
        <v>250</v>
      </c>
      <c r="I35" s="1" t="s">
        <v>1116</v>
      </c>
    </row>
    <row r="36" spans="1:9" x14ac:dyDescent="0.3">
      <c r="A36" s="1" t="s">
        <v>1094</v>
      </c>
      <c r="B36" s="1" t="s">
        <v>300</v>
      </c>
      <c r="C36" s="1" t="s">
        <v>1094</v>
      </c>
      <c r="D36" s="1" t="s">
        <v>805</v>
      </c>
      <c r="E36" s="1" t="s">
        <v>832</v>
      </c>
      <c r="F36" s="1" t="s">
        <v>302</v>
      </c>
      <c r="G36" s="1" t="s">
        <v>301</v>
      </c>
      <c r="H36" s="1" t="s">
        <v>250</v>
      </c>
      <c r="I36" s="1" t="s">
        <v>1116</v>
      </c>
    </row>
    <row r="37" spans="1:9" x14ac:dyDescent="0.3">
      <c r="A37" s="1" t="s">
        <v>1129</v>
      </c>
      <c r="B37" s="1" t="s">
        <v>105</v>
      </c>
      <c r="C37" s="1" t="s">
        <v>1129</v>
      </c>
      <c r="D37" s="1" t="s">
        <v>833</v>
      </c>
      <c r="E37" s="1" t="s">
        <v>834</v>
      </c>
      <c r="F37" s="1" t="s">
        <v>108</v>
      </c>
      <c r="G37" s="1" t="s">
        <v>106</v>
      </c>
      <c r="H37" s="1" t="s">
        <v>107</v>
      </c>
      <c r="I37" s="1" t="s">
        <v>1130</v>
      </c>
    </row>
    <row r="38" spans="1:9" x14ac:dyDescent="0.3">
      <c r="A38" s="1" t="s">
        <v>1131</v>
      </c>
      <c r="B38" s="1" t="s">
        <v>109</v>
      </c>
      <c r="C38" s="1" t="s">
        <v>1131</v>
      </c>
      <c r="D38" s="1" t="s">
        <v>833</v>
      </c>
      <c r="E38" s="1" t="s">
        <v>834</v>
      </c>
      <c r="F38" s="1" t="s">
        <v>111</v>
      </c>
      <c r="G38" s="1" t="s">
        <v>110</v>
      </c>
      <c r="H38" s="1" t="s">
        <v>107</v>
      </c>
      <c r="I38" s="1" t="s">
        <v>1130</v>
      </c>
    </row>
    <row r="39" spans="1:9" x14ac:dyDescent="0.3">
      <c r="A39" s="1" t="s">
        <v>1132</v>
      </c>
      <c r="B39" s="1" t="s">
        <v>116</v>
      </c>
      <c r="C39" s="1" t="s">
        <v>1132</v>
      </c>
      <c r="D39" s="1" t="s">
        <v>833</v>
      </c>
      <c r="E39" s="1" t="s">
        <v>835</v>
      </c>
      <c r="F39" s="1" t="s">
        <v>118</v>
      </c>
      <c r="G39" s="1" t="s">
        <v>117</v>
      </c>
      <c r="H39" s="1" t="s">
        <v>107</v>
      </c>
      <c r="I39" s="1" t="s">
        <v>1130</v>
      </c>
    </row>
    <row r="40" spans="1:9" x14ac:dyDescent="0.3">
      <c r="A40" s="1" t="s">
        <v>1133</v>
      </c>
      <c r="B40" s="1" t="s">
        <v>119</v>
      </c>
      <c r="C40" s="1" t="s">
        <v>1133</v>
      </c>
      <c r="D40" s="1" t="s">
        <v>833</v>
      </c>
      <c r="E40" s="1" t="s">
        <v>834</v>
      </c>
      <c r="F40" s="1" t="s">
        <v>121</v>
      </c>
      <c r="G40" s="1" t="s">
        <v>120</v>
      </c>
      <c r="H40" s="1" t="s">
        <v>107</v>
      </c>
      <c r="I40" s="1" t="s">
        <v>1130</v>
      </c>
    </row>
    <row r="41" spans="1:9" x14ac:dyDescent="0.3">
      <c r="A41" s="1" t="s">
        <v>1134</v>
      </c>
      <c r="B41" s="1" t="s">
        <v>129</v>
      </c>
      <c r="C41" s="1" t="s">
        <v>1134</v>
      </c>
      <c r="D41" s="1" t="s">
        <v>833</v>
      </c>
      <c r="E41" s="1" t="s">
        <v>834</v>
      </c>
      <c r="F41" s="1" t="s">
        <v>131</v>
      </c>
      <c r="G41" s="1" t="s">
        <v>130</v>
      </c>
      <c r="H41" s="1" t="s">
        <v>107</v>
      </c>
      <c r="I41" s="1" t="s">
        <v>1130</v>
      </c>
    </row>
    <row r="42" spans="1:9" x14ac:dyDescent="0.3">
      <c r="A42" s="1" t="s">
        <v>1135</v>
      </c>
      <c r="B42" s="1" t="s">
        <v>132</v>
      </c>
      <c r="C42" s="1" t="s">
        <v>1135</v>
      </c>
      <c r="D42" s="1" t="s">
        <v>833</v>
      </c>
      <c r="E42" s="1" t="s">
        <v>835</v>
      </c>
      <c r="F42" s="1" t="s">
        <v>134</v>
      </c>
      <c r="G42" s="1" t="s">
        <v>133</v>
      </c>
      <c r="H42" s="1" t="s">
        <v>107</v>
      </c>
      <c r="I42" s="1" t="s">
        <v>1130</v>
      </c>
    </row>
    <row r="43" spans="1:9" x14ac:dyDescent="0.3">
      <c r="A43" s="1" t="s">
        <v>1136</v>
      </c>
      <c r="B43" s="1" t="s">
        <v>135</v>
      </c>
      <c r="C43" s="1" t="s">
        <v>1136</v>
      </c>
      <c r="D43" s="1" t="s">
        <v>833</v>
      </c>
      <c r="E43" s="1" t="s">
        <v>835</v>
      </c>
      <c r="F43" s="1" t="s">
        <v>137</v>
      </c>
      <c r="G43" s="1" t="s">
        <v>136</v>
      </c>
      <c r="H43" s="1" t="s">
        <v>107</v>
      </c>
      <c r="I43" s="1" t="s">
        <v>1130</v>
      </c>
    </row>
    <row r="44" spans="1:9" x14ac:dyDescent="0.3">
      <c r="A44" s="1" t="s">
        <v>1137</v>
      </c>
      <c r="B44" s="1" t="s">
        <v>138</v>
      </c>
      <c r="C44" s="1" t="s">
        <v>1137</v>
      </c>
      <c r="D44" s="1" t="s">
        <v>833</v>
      </c>
      <c r="E44" s="1" t="s">
        <v>834</v>
      </c>
      <c r="F44" s="1" t="s">
        <v>140</v>
      </c>
      <c r="G44" s="1" t="s">
        <v>139</v>
      </c>
      <c r="H44" s="1" t="s">
        <v>107</v>
      </c>
      <c r="I44" s="1" t="s">
        <v>1130</v>
      </c>
    </row>
    <row r="45" spans="1:9" x14ac:dyDescent="0.3">
      <c r="A45" s="1" t="s">
        <v>1138</v>
      </c>
      <c r="B45" s="1" t="s">
        <v>836</v>
      </c>
      <c r="C45" s="1" t="s">
        <v>1138</v>
      </c>
      <c r="D45" s="1" t="s">
        <v>833</v>
      </c>
      <c r="E45" s="1" t="s">
        <v>834</v>
      </c>
      <c r="F45" s="1" t="s">
        <v>837</v>
      </c>
      <c r="G45" s="1" t="s">
        <v>838</v>
      </c>
      <c r="H45" s="1" t="s">
        <v>107</v>
      </c>
      <c r="I45" s="1" t="s">
        <v>1130</v>
      </c>
    </row>
    <row r="46" spans="1:9" x14ac:dyDescent="0.3">
      <c r="A46" s="1" t="s">
        <v>1139</v>
      </c>
      <c r="B46" s="1" t="s">
        <v>141</v>
      </c>
      <c r="C46" s="1" t="s">
        <v>1139</v>
      </c>
      <c r="D46" s="1" t="s">
        <v>833</v>
      </c>
      <c r="E46" s="1" t="s">
        <v>834</v>
      </c>
      <c r="F46" s="1" t="s">
        <v>143</v>
      </c>
      <c r="G46" s="1" t="s">
        <v>142</v>
      </c>
      <c r="H46" s="1" t="s">
        <v>107</v>
      </c>
      <c r="I46" s="1" t="s">
        <v>1130</v>
      </c>
    </row>
    <row r="47" spans="1:9" x14ac:dyDescent="0.3">
      <c r="A47" s="1" t="s">
        <v>1140</v>
      </c>
      <c r="B47" s="1" t="s">
        <v>839</v>
      </c>
      <c r="C47" s="1" t="s">
        <v>1140</v>
      </c>
      <c r="D47" s="1" t="s">
        <v>833</v>
      </c>
      <c r="E47" s="1" t="s">
        <v>834</v>
      </c>
      <c r="F47" s="1" t="s">
        <v>840</v>
      </c>
      <c r="G47" s="1" t="s">
        <v>841</v>
      </c>
      <c r="H47" s="1" t="s">
        <v>107</v>
      </c>
      <c r="I47" s="1" t="s">
        <v>1130</v>
      </c>
    </row>
    <row r="48" spans="1:9" x14ac:dyDescent="0.3">
      <c r="A48" s="1" t="s">
        <v>1141</v>
      </c>
      <c r="B48" s="1" t="s">
        <v>842</v>
      </c>
      <c r="C48" s="1" t="s">
        <v>1141</v>
      </c>
      <c r="D48" s="1" t="s">
        <v>833</v>
      </c>
      <c r="E48" s="1" t="s">
        <v>834</v>
      </c>
      <c r="F48" s="1" t="s">
        <v>843</v>
      </c>
      <c r="G48" s="1" t="s">
        <v>844</v>
      </c>
      <c r="H48" s="1" t="s">
        <v>107</v>
      </c>
      <c r="I48" s="1" t="s">
        <v>1130</v>
      </c>
    </row>
    <row r="49" spans="1:9" x14ac:dyDescent="0.3">
      <c r="A49" s="1" t="s">
        <v>1142</v>
      </c>
      <c r="B49" s="1" t="s">
        <v>150</v>
      </c>
      <c r="C49" s="1" t="s">
        <v>1142</v>
      </c>
      <c r="D49" s="1" t="s">
        <v>833</v>
      </c>
      <c r="E49" s="1" t="s">
        <v>834</v>
      </c>
      <c r="F49" s="1" t="s">
        <v>152</v>
      </c>
      <c r="G49" s="1" t="s">
        <v>151</v>
      </c>
      <c r="H49" s="1" t="s">
        <v>107</v>
      </c>
      <c r="I49" s="1" t="s">
        <v>1130</v>
      </c>
    </row>
    <row r="50" spans="1:9" x14ac:dyDescent="0.3">
      <c r="A50" s="1" t="s">
        <v>1143</v>
      </c>
      <c r="B50" s="1" t="s">
        <v>159</v>
      </c>
      <c r="C50" s="1" t="s">
        <v>1143</v>
      </c>
      <c r="D50" s="1" t="s">
        <v>833</v>
      </c>
      <c r="E50" s="1" t="s">
        <v>835</v>
      </c>
      <c r="F50" s="1" t="s">
        <v>161</v>
      </c>
      <c r="G50" s="1" t="s">
        <v>160</v>
      </c>
      <c r="H50" s="1" t="s">
        <v>107</v>
      </c>
      <c r="I50" s="1" t="s">
        <v>1130</v>
      </c>
    </row>
    <row r="51" spans="1:9" x14ac:dyDescent="0.3">
      <c r="A51" s="1" t="s">
        <v>1144</v>
      </c>
      <c r="B51" s="1" t="s">
        <v>845</v>
      </c>
      <c r="C51" s="1" t="s">
        <v>1144</v>
      </c>
      <c r="D51" s="1" t="s">
        <v>833</v>
      </c>
      <c r="E51" s="1" t="s">
        <v>834</v>
      </c>
      <c r="F51" s="1" t="s">
        <v>846</v>
      </c>
      <c r="G51" s="1" t="s">
        <v>847</v>
      </c>
      <c r="H51" s="1" t="s">
        <v>107</v>
      </c>
      <c r="I51" s="1" t="s">
        <v>1130</v>
      </c>
    </row>
    <row r="52" spans="1:9" x14ac:dyDescent="0.3">
      <c r="A52" s="1" t="s">
        <v>1145</v>
      </c>
      <c r="B52" s="1" t="s">
        <v>75</v>
      </c>
      <c r="C52" s="1" t="s">
        <v>1145</v>
      </c>
      <c r="D52" s="1" t="s">
        <v>814</v>
      </c>
      <c r="E52" s="1" t="s">
        <v>848</v>
      </c>
      <c r="F52" s="1" t="s">
        <v>78</v>
      </c>
      <c r="G52" s="1" t="s">
        <v>76</v>
      </c>
      <c r="H52" s="1" t="s">
        <v>77</v>
      </c>
      <c r="I52" s="1" t="s">
        <v>1146</v>
      </c>
    </row>
    <row r="53" spans="1:9" x14ac:dyDescent="0.3">
      <c r="A53" s="1" t="s">
        <v>1147</v>
      </c>
      <c r="B53" s="1" t="s">
        <v>83</v>
      </c>
      <c r="C53" s="1" t="s">
        <v>1147</v>
      </c>
      <c r="D53" s="1" t="s">
        <v>814</v>
      </c>
      <c r="E53" s="1" t="s">
        <v>848</v>
      </c>
      <c r="F53" s="1" t="s">
        <v>85</v>
      </c>
      <c r="G53" s="1" t="s">
        <v>84</v>
      </c>
      <c r="H53" s="1" t="s">
        <v>77</v>
      </c>
      <c r="I53" s="1" t="s">
        <v>1146</v>
      </c>
    </row>
    <row r="54" spans="1:9" x14ac:dyDescent="0.3">
      <c r="A54" s="1" t="s">
        <v>1148</v>
      </c>
      <c r="B54" s="1" t="s">
        <v>849</v>
      </c>
      <c r="C54" s="1" t="s">
        <v>1148</v>
      </c>
      <c r="D54" s="1" t="s">
        <v>814</v>
      </c>
      <c r="E54" s="1" t="s">
        <v>848</v>
      </c>
      <c r="F54" s="1" t="s">
        <v>850</v>
      </c>
      <c r="G54" s="1" t="s">
        <v>851</v>
      </c>
      <c r="H54" s="1" t="s">
        <v>77</v>
      </c>
      <c r="I54" s="1" t="s">
        <v>1146</v>
      </c>
    </row>
    <row r="55" spans="1:9" x14ac:dyDescent="0.3">
      <c r="A55" s="1" t="s">
        <v>1149</v>
      </c>
      <c r="B55" s="1" t="s">
        <v>86</v>
      </c>
      <c r="C55" s="1" t="s">
        <v>1149</v>
      </c>
      <c r="D55" s="1" t="s">
        <v>814</v>
      </c>
      <c r="E55" s="1" t="s">
        <v>848</v>
      </c>
      <c r="F55" s="1" t="s">
        <v>88</v>
      </c>
      <c r="G55" s="1" t="s">
        <v>87</v>
      </c>
      <c r="H55" s="1" t="s">
        <v>77</v>
      </c>
      <c r="I55" s="1" t="s">
        <v>1146</v>
      </c>
    </row>
    <row r="56" spans="1:9" x14ac:dyDescent="0.3">
      <c r="A56" s="1" t="s">
        <v>1150</v>
      </c>
      <c r="B56" s="1" t="s">
        <v>89</v>
      </c>
      <c r="C56" s="1" t="s">
        <v>1150</v>
      </c>
      <c r="D56" s="1" t="s">
        <v>814</v>
      </c>
      <c r="E56" s="1" t="s">
        <v>848</v>
      </c>
      <c r="F56" s="1" t="s">
        <v>91</v>
      </c>
      <c r="G56" s="1" t="s">
        <v>90</v>
      </c>
      <c r="H56" s="1" t="s">
        <v>77</v>
      </c>
      <c r="I56" s="1" t="s">
        <v>1146</v>
      </c>
    </row>
    <row r="57" spans="1:9" x14ac:dyDescent="0.3">
      <c r="A57" s="1" t="s">
        <v>1151</v>
      </c>
      <c r="B57" s="1" t="s">
        <v>607</v>
      </c>
      <c r="C57" s="1" t="s">
        <v>1151</v>
      </c>
      <c r="D57" s="1" t="s">
        <v>814</v>
      </c>
      <c r="E57" s="1" t="s">
        <v>852</v>
      </c>
      <c r="F57" s="1" t="s">
        <v>609</v>
      </c>
      <c r="G57" s="1" t="s">
        <v>608</v>
      </c>
      <c r="H57" s="1" t="s">
        <v>77</v>
      </c>
      <c r="I57" s="1" t="s">
        <v>1146</v>
      </c>
    </row>
    <row r="58" spans="1:9" x14ac:dyDescent="0.3">
      <c r="A58" s="1" t="s">
        <v>1152</v>
      </c>
      <c r="B58" s="1" t="s">
        <v>435</v>
      </c>
      <c r="C58" s="1" t="s">
        <v>1152</v>
      </c>
      <c r="D58" s="1" t="s">
        <v>814</v>
      </c>
      <c r="E58" s="1" t="s">
        <v>848</v>
      </c>
      <c r="F58" s="1" t="s">
        <v>437</v>
      </c>
      <c r="G58" s="1" t="s">
        <v>436</v>
      </c>
      <c r="H58" s="1" t="s">
        <v>77</v>
      </c>
      <c r="I58" s="1" t="s">
        <v>1146</v>
      </c>
    </row>
    <row r="59" spans="1:9" x14ac:dyDescent="0.3">
      <c r="A59" s="1" t="s">
        <v>1153</v>
      </c>
      <c r="B59" s="1" t="s">
        <v>95</v>
      </c>
      <c r="C59" s="1" t="s">
        <v>1153</v>
      </c>
      <c r="D59" s="1" t="s">
        <v>814</v>
      </c>
      <c r="E59" s="1" t="s">
        <v>852</v>
      </c>
      <c r="F59" s="1" t="s">
        <v>97</v>
      </c>
      <c r="G59" s="1" t="s">
        <v>96</v>
      </c>
      <c r="H59" s="1" t="s">
        <v>77</v>
      </c>
      <c r="I59" s="1" t="s">
        <v>1146</v>
      </c>
    </row>
    <row r="60" spans="1:9" x14ac:dyDescent="0.3">
      <c r="A60" s="1" t="s">
        <v>1154</v>
      </c>
      <c r="B60" s="1" t="s">
        <v>853</v>
      </c>
      <c r="C60" s="1" t="s">
        <v>1154</v>
      </c>
      <c r="D60" s="1" t="s">
        <v>814</v>
      </c>
      <c r="E60" s="1" t="s">
        <v>852</v>
      </c>
      <c r="F60" s="1" t="s">
        <v>854</v>
      </c>
      <c r="G60" s="1" t="s">
        <v>855</v>
      </c>
      <c r="H60" s="1" t="s">
        <v>77</v>
      </c>
      <c r="I60" s="1" t="s">
        <v>1146</v>
      </c>
    </row>
    <row r="61" spans="1:9" x14ac:dyDescent="0.3">
      <c r="A61" s="1" t="s">
        <v>1155</v>
      </c>
      <c r="B61" s="1" t="s">
        <v>856</v>
      </c>
      <c r="C61" s="1" t="s">
        <v>1155</v>
      </c>
      <c r="D61" s="1" t="s">
        <v>814</v>
      </c>
      <c r="E61" s="1" t="s">
        <v>852</v>
      </c>
      <c r="F61" s="1" t="s">
        <v>857</v>
      </c>
      <c r="G61" s="1" t="s">
        <v>858</v>
      </c>
      <c r="H61" s="1" t="s">
        <v>77</v>
      </c>
      <c r="I61" s="1" t="s">
        <v>1146</v>
      </c>
    </row>
    <row r="62" spans="1:9" x14ac:dyDescent="0.3">
      <c r="A62" s="1" t="s">
        <v>1156</v>
      </c>
      <c r="B62" s="1" t="s">
        <v>770</v>
      </c>
      <c r="C62" s="1" t="s">
        <v>1156</v>
      </c>
      <c r="D62" s="1" t="s">
        <v>814</v>
      </c>
      <c r="E62" s="1" t="s">
        <v>848</v>
      </c>
      <c r="F62" s="1" t="s">
        <v>772</v>
      </c>
      <c r="G62" s="1" t="s">
        <v>771</v>
      </c>
      <c r="H62" s="1" t="s">
        <v>77</v>
      </c>
      <c r="I62" s="1" t="s">
        <v>1146</v>
      </c>
    </row>
    <row r="63" spans="1:9" x14ac:dyDescent="0.3">
      <c r="A63" s="1" t="s">
        <v>1157</v>
      </c>
      <c r="B63" s="1" t="s">
        <v>98</v>
      </c>
      <c r="C63" s="1" t="s">
        <v>1157</v>
      </c>
      <c r="D63" s="1" t="s">
        <v>814</v>
      </c>
      <c r="E63" s="1" t="s">
        <v>848</v>
      </c>
      <c r="F63" s="1" t="s">
        <v>100</v>
      </c>
      <c r="G63" s="1" t="s">
        <v>99</v>
      </c>
      <c r="H63" s="1" t="s">
        <v>77</v>
      </c>
      <c r="I63" s="1" t="s">
        <v>1146</v>
      </c>
    </row>
    <row r="64" spans="1:9" x14ac:dyDescent="0.3">
      <c r="A64" s="1" t="s">
        <v>1158</v>
      </c>
      <c r="B64" s="1" t="s">
        <v>684</v>
      </c>
      <c r="C64" s="1" t="s">
        <v>1158</v>
      </c>
      <c r="D64" s="1" t="s">
        <v>859</v>
      </c>
      <c r="E64" s="1" t="s">
        <v>860</v>
      </c>
      <c r="F64" s="1" t="s">
        <v>686</v>
      </c>
      <c r="G64" s="1" t="s">
        <v>685</v>
      </c>
      <c r="H64" s="1" t="s">
        <v>45</v>
      </c>
      <c r="I64" s="1" t="s">
        <v>1159</v>
      </c>
    </row>
    <row r="65" spans="1:9" x14ac:dyDescent="0.3">
      <c r="A65" s="1" t="s">
        <v>1160</v>
      </c>
      <c r="B65" s="1" t="s">
        <v>687</v>
      </c>
      <c r="C65" s="1" t="s">
        <v>1160</v>
      </c>
      <c r="D65" s="1" t="s">
        <v>859</v>
      </c>
      <c r="E65" s="1" t="s">
        <v>861</v>
      </c>
      <c r="F65" s="1" t="s">
        <v>689</v>
      </c>
      <c r="G65" s="1" t="s">
        <v>688</v>
      </c>
      <c r="H65" s="1" t="s">
        <v>45</v>
      </c>
      <c r="I65" s="1" t="s">
        <v>1159</v>
      </c>
    </row>
    <row r="66" spans="1:9" x14ac:dyDescent="0.3">
      <c r="A66" s="1" t="s">
        <v>1161</v>
      </c>
      <c r="B66" s="1" t="s">
        <v>862</v>
      </c>
      <c r="C66" s="1" t="s">
        <v>1161</v>
      </c>
      <c r="D66" s="1" t="s">
        <v>814</v>
      </c>
      <c r="E66" s="1" t="s">
        <v>848</v>
      </c>
      <c r="F66" s="1" t="s">
        <v>863</v>
      </c>
      <c r="G66" s="1" t="s">
        <v>864</v>
      </c>
      <c r="H66" s="1" t="s">
        <v>45</v>
      </c>
      <c r="I66" s="1" t="s">
        <v>1159</v>
      </c>
    </row>
    <row r="67" spans="1:9" x14ac:dyDescent="0.3">
      <c r="A67" s="1" t="s">
        <v>1162</v>
      </c>
      <c r="B67" s="1" t="s">
        <v>43</v>
      </c>
      <c r="C67" s="1" t="s">
        <v>1162</v>
      </c>
      <c r="D67" s="1" t="s">
        <v>859</v>
      </c>
      <c r="E67" s="1" t="s">
        <v>860</v>
      </c>
      <c r="F67" s="1" t="s">
        <v>46</v>
      </c>
      <c r="G67" s="1" t="s">
        <v>44</v>
      </c>
      <c r="H67" s="1" t="s">
        <v>45</v>
      </c>
      <c r="I67" s="1" t="s">
        <v>1159</v>
      </c>
    </row>
    <row r="68" spans="1:9" x14ac:dyDescent="0.3">
      <c r="A68" s="1" t="s">
        <v>1163</v>
      </c>
      <c r="B68" s="1" t="s">
        <v>47</v>
      </c>
      <c r="C68" s="1" t="s">
        <v>1163</v>
      </c>
      <c r="D68" s="1" t="s">
        <v>859</v>
      </c>
      <c r="E68" s="1" t="s">
        <v>860</v>
      </c>
      <c r="F68" s="1" t="s">
        <v>49</v>
      </c>
      <c r="G68" s="1" t="s">
        <v>48</v>
      </c>
      <c r="H68" s="1" t="s">
        <v>45</v>
      </c>
      <c r="I68" s="1" t="s">
        <v>1159</v>
      </c>
    </row>
    <row r="69" spans="1:9" x14ac:dyDescent="0.3">
      <c r="A69" s="1" t="s">
        <v>1164</v>
      </c>
      <c r="B69" s="1" t="s">
        <v>690</v>
      </c>
      <c r="C69" s="1" t="s">
        <v>1164</v>
      </c>
      <c r="D69" s="1" t="s">
        <v>859</v>
      </c>
      <c r="E69" s="1" t="s">
        <v>860</v>
      </c>
      <c r="F69" s="1" t="s">
        <v>692</v>
      </c>
      <c r="G69" s="1" t="s">
        <v>691</v>
      </c>
      <c r="H69" s="1" t="s">
        <v>45</v>
      </c>
      <c r="I69" s="1" t="s">
        <v>1159</v>
      </c>
    </row>
    <row r="70" spans="1:9" x14ac:dyDescent="0.3">
      <c r="A70" s="1" t="s">
        <v>1165</v>
      </c>
      <c r="B70" s="1" t="s">
        <v>53</v>
      </c>
      <c r="C70" s="1" t="s">
        <v>1165</v>
      </c>
      <c r="D70" s="1" t="s">
        <v>859</v>
      </c>
      <c r="E70" s="1" t="s">
        <v>860</v>
      </c>
      <c r="F70" s="1" t="s">
        <v>55</v>
      </c>
      <c r="G70" s="1" t="s">
        <v>54</v>
      </c>
      <c r="H70" s="1" t="s">
        <v>45</v>
      </c>
      <c r="I70" s="1" t="s">
        <v>1159</v>
      </c>
    </row>
    <row r="71" spans="1:9" x14ac:dyDescent="0.3">
      <c r="A71" s="1" t="s">
        <v>1166</v>
      </c>
      <c r="B71" s="1" t="s">
        <v>865</v>
      </c>
      <c r="C71" s="1" t="s">
        <v>1166</v>
      </c>
      <c r="D71" s="1" t="s">
        <v>859</v>
      </c>
      <c r="E71" s="1" t="s">
        <v>866</v>
      </c>
      <c r="F71" s="1" t="s">
        <v>867</v>
      </c>
      <c r="G71" s="1" t="s">
        <v>868</v>
      </c>
      <c r="H71" s="1" t="s">
        <v>45</v>
      </c>
      <c r="I71" s="1" t="s">
        <v>1159</v>
      </c>
    </row>
    <row r="72" spans="1:9" x14ac:dyDescent="0.3">
      <c r="A72" s="1" t="s">
        <v>1167</v>
      </c>
      <c r="B72" s="1" t="s">
        <v>209</v>
      </c>
      <c r="C72" s="1" t="s">
        <v>1167</v>
      </c>
      <c r="D72" s="1" t="s">
        <v>859</v>
      </c>
      <c r="E72" s="1" t="s">
        <v>866</v>
      </c>
      <c r="F72" s="1" t="s">
        <v>211</v>
      </c>
      <c r="G72" s="1" t="s">
        <v>210</v>
      </c>
      <c r="H72" s="1" t="s">
        <v>45</v>
      </c>
      <c r="I72" s="1" t="s">
        <v>1159</v>
      </c>
    </row>
    <row r="73" spans="1:9" x14ac:dyDescent="0.3">
      <c r="A73" s="1" t="s">
        <v>1168</v>
      </c>
      <c r="B73" s="1" t="s">
        <v>869</v>
      </c>
      <c r="C73" s="1" t="s">
        <v>1168</v>
      </c>
      <c r="D73" s="1" t="s">
        <v>814</v>
      </c>
      <c r="E73" s="1" t="s">
        <v>848</v>
      </c>
      <c r="F73" s="1" t="s">
        <v>870</v>
      </c>
      <c r="G73" s="1" t="s">
        <v>871</v>
      </c>
      <c r="H73" s="1" t="s">
        <v>45</v>
      </c>
      <c r="I73" s="1" t="s">
        <v>1159</v>
      </c>
    </row>
    <row r="74" spans="1:9" x14ac:dyDescent="0.3">
      <c r="A74" s="1" t="s">
        <v>1169</v>
      </c>
      <c r="B74" s="1" t="s">
        <v>560</v>
      </c>
      <c r="C74" s="1" t="s">
        <v>1169</v>
      </c>
      <c r="D74" s="1" t="s">
        <v>859</v>
      </c>
      <c r="E74" s="1" t="s">
        <v>860</v>
      </c>
      <c r="F74" s="1" t="s">
        <v>564</v>
      </c>
      <c r="G74" s="1" t="s">
        <v>562</v>
      </c>
      <c r="H74" s="1" t="s">
        <v>45</v>
      </c>
      <c r="I74" s="1" t="s">
        <v>1159</v>
      </c>
    </row>
    <row r="75" spans="1:9" x14ac:dyDescent="0.3">
      <c r="A75" s="1" t="s">
        <v>1170</v>
      </c>
      <c r="B75" s="1" t="s">
        <v>693</v>
      </c>
      <c r="C75" s="1" t="s">
        <v>1170</v>
      </c>
      <c r="D75" s="1" t="s">
        <v>859</v>
      </c>
      <c r="E75" s="1" t="s">
        <v>872</v>
      </c>
      <c r="F75" s="1" t="s">
        <v>695</v>
      </c>
      <c r="G75" s="1" t="s">
        <v>694</v>
      </c>
      <c r="H75" s="1" t="s">
        <v>45</v>
      </c>
      <c r="I75" s="1" t="s">
        <v>1159</v>
      </c>
    </row>
    <row r="76" spans="1:9" x14ac:dyDescent="0.3">
      <c r="A76" s="1" t="s">
        <v>1171</v>
      </c>
      <c r="B76" s="1" t="s">
        <v>873</v>
      </c>
      <c r="C76" s="1" t="s">
        <v>1171</v>
      </c>
      <c r="D76" s="1" t="s">
        <v>814</v>
      </c>
      <c r="E76" s="1" t="s">
        <v>818</v>
      </c>
      <c r="F76" s="1" t="s">
        <v>874</v>
      </c>
      <c r="G76" s="1" t="s">
        <v>875</v>
      </c>
      <c r="H76" s="1" t="s">
        <v>45</v>
      </c>
      <c r="I76" s="1" t="s">
        <v>1159</v>
      </c>
    </row>
    <row r="77" spans="1:9" x14ac:dyDescent="0.3">
      <c r="A77" s="1" t="s">
        <v>1172</v>
      </c>
      <c r="B77" s="1" t="s">
        <v>876</v>
      </c>
      <c r="C77" s="1" t="s">
        <v>1172</v>
      </c>
      <c r="D77" s="1" t="s">
        <v>859</v>
      </c>
      <c r="E77" s="1" t="s">
        <v>866</v>
      </c>
      <c r="F77" s="1" t="s">
        <v>877</v>
      </c>
      <c r="G77" s="1" t="s">
        <v>878</v>
      </c>
      <c r="H77" s="1" t="s">
        <v>45</v>
      </c>
      <c r="I77" s="1" t="s">
        <v>1159</v>
      </c>
    </row>
    <row r="78" spans="1:9" x14ac:dyDescent="0.3">
      <c r="A78" s="1" t="s">
        <v>1173</v>
      </c>
      <c r="B78" s="1" t="s">
        <v>699</v>
      </c>
      <c r="C78" s="1" t="s">
        <v>1173</v>
      </c>
      <c r="D78" s="1" t="s">
        <v>859</v>
      </c>
      <c r="E78" s="1" t="s">
        <v>861</v>
      </c>
      <c r="F78" s="1" t="s">
        <v>701</v>
      </c>
      <c r="G78" s="1" t="s">
        <v>700</v>
      </c>
      <c r="H78" s="1" t="s">
        <v>45</v>
      </c>
      <c r="I78" s="1" t="s">
        <v>1159</v>
      </c>
    </row>
    <row r="79" spans="1:9" x14ac:dyDescent="0.3">
      <c r="A79" s="1" t="s">
        <v>1174</v>
      </c>
      <c r="B79" s="1" t="s">
        <v>879</v>
      </c>
      <c r="C79" s="1" t="s">
        <v>1174</v>
      </c>
      <c r="D79" s="1" t="s">
        <v>880</v>
      </c>
      <c r="E79" s="1" t="s">
        <v>881</v>
      </c>
      <c r="F79" s="1" t="s">
        <v>882</v>
      </c>
      <c r="G79" s="1" t="s">
        <v>883</v>
      </c>
      <c r="H79" s="1" t="s">
        <v>612</v>
      </c>
      <c r="I79" s="1" t="s">
        <v>1175</v>
      </c>
    </row>
    <row r="80" spans="1:9" x14ac:dyDescent="0.3">
      <c r="A80" s="1" t="s">
        <v>1176</v>
      </c>
      <c r="B80" s="1" t="s">
        <v>610</v>
      </c>
      <c r="C80" s="1" t="s">
        <v>1176</v>
      </c>
      <c r="D80" s="1" t="s">
        <v>880</v>
      </c>
      <c r="E80" s="1" t="s">
        <v>881</v>
      </c>
      <c r="F80" s="1" t="s">
        <v>613</v>
      </c>
      <c r="G80" s="1" t="s">
        <v>611</v>
      </c>
      <c r="H80" s="1" t="s">
        <v>612</v>
      </c>
      <c r="I80" s="1" t="s">
        <v>1175</v>
      </c>
    </row>
    <row r="81" spans="1:9" x14ac:dyDescent="0.3">
      <c r="A81" s="1" t="s">
        <v>1177</v>
      </c>
      <c r="B81" s="1" t="s">
        <v>614</v>
      </c>
      <c r="C81" s="1" t="s">
        <v>1177</v>
      </c>
      <c r="D81" s="1" t="s">
        <v>880</v>
      </c>
      <c r="E81" s="1" t="s">
        <v>881</v>
      </c>
      <c r="F81" s="1" t="s">
        <v>616</v>
      </c>
      <c r="G81" s="1" t="s">
        <v>615</v>
      </c>
      <c r="H81" s="1" t="s">
        <v>612</v>
      </c>
      <c r="I81" s="1" t="s">
        <v>1175</v>
      </c>
    </row>
    <row r="82" spans="1:9" x14ac:dyDescent="0.3">
      <c r="A82" s="1" t="s">
        <v>1178</v>
      </c>
      <c r="B82" s="1" t="s">
        <v>617</v>
      </c>
      <c r="C82" s="1" t="s">
        <v>1178</v>
      </c>
      <c r="D82" s="1" t="s">
        <v>880</v>
      </c>
      <c r="E82" s="1" t="s">
        <v>881</v>
      </c>
      <c r="F82" s="1" t="s">
        <v>619</v>
      </c>
      <c r="G82" s="1" t="s">
        <v>618</v>
      </c>
      <c r="H82" s="1" t="s">
        <v>612</v>
      </c>
      <c r="I82" s="1" t="s">
        <v>1175</v>
      </c>
    </row>
    <row r="83" spans="1:9" x14ac:dyDescent="0.3">
      <c r="A83" s="1" t="s">
        <v>1179</v>
      </c>
      <c r="B83" s="1" t="s">
        <v>884</v>
      </c>
      <c r="C83" s="1" t="s">
        <v>1179</v>
      </c>
      <c r="D83" s="1" t="s">
        <v>880</v>
      </c>
      <c r="E83" s="1" t="s">
        <v>881</v>
      </c>
      <c r="F83" s="1" t="s">
        <v>885</v>
      </c>
      <c r="G83" s="1" t="s">
        <v>886</v>
      </c>
      <c r="H83" s="1" t="s">
        <v>612</v>
      </c>
      <c r="I83" s="1" t="s">
        <v>1175</v>
      </c>
    </row>
    <row r="84" spans="1:9" x14ac:dyDescent="0.3">
      <c r="A84" s="1" t="s">
        <v>1180</v>
      </c>
      <c r="B84" s="1" t="s">
        <v>620</v>
      </c>
      <c r="C84" s="1" t="s">
        <v>1180</v>
      </c>
      <c r="D84" s="1" t="s">
        <v>880</v>
      </c>
      <c r="E84" s="1" t="s">
        <v>881</v>
      </c>
      <c r="F84" s="1" t="s">
        <v>622</v>
      </c>
      <c r="G84" s="1" t="s">
        <v>621</v>
      </c>
      <c r="H84" s="1" t="s">
        <v>612</v>
      </c>
      <c r="I84" s="1" t="s">
        <v>1175</v>
      </c>
    </row>
    <row r="85" spans="1:9" x14ac:dyDescent="0.3">
      <c r="A85" s="1" t="s">
        <v>1181</v>
      </c>
      <c r="B85" s="1" t="s">
        <v>626</v>
      </c>
      <c r="C85" s="1" t="s">
        <v>1181</v>
      </c>
      <c r="D85" s="1" t="s">
        <v>887</v>
      </c>
      <c r="E85" s="1" t="s">
        <v>887</v>
      </c>
      <c r="F85" s="1" t="s">
        <v>629</v>
      </c>
      <c r="G85" s="1" t="s">
        <v>627</v>
      </c>
      <c r="H85" s="1" t="s">
        <v>628</v>
      </c>
      <c r="I85" s="1" t="s">
        <v>1182</v>
      </c>
    </row>
    <row r="86" spans="1:9" x14ac:dyDescent="0.3">
      <c r="A86" s="1" t="s">
        <v>1183</v>
      </c>
      <c r="B86" s="1" t="s">
        <v>633</v>
      </c>
      <c r="C86" s="1" t="s">
        <v>1183</v>
      </c>
      <c r="D86" s="1" t="s">
        <v>887</v>
      </c>
      <c r="E86" s="1" t="s">
        <v>887</v>
      </c>
      <c r="F86" s="1" t="s">
        <v>635</v>
      </c>
      <c r="G86" s="1" t="s">
        <v>634</v>
      </c>
      <c r="H86" s="1" t="s">
        <v>628</v>
      </c>
      <c r="I86" s="1" t="s">
        <v>1182</v>
      </c>
    </row>
    <row r="87" spans="1:9" x14ac:dyDescent="0.3">
      <c r="A87" s="1" t="s">
        <v>1184</v>
      </c>
      <c r="B87" s="1" t="s">
        <v>636</v>
      </c>
      <c r="C87" s="1" t="s">
        <v>1184</v>
      </c>
      <c r="D87" s="1" t="s">
        <v>887</v>
      </c>
      <c r="E87" s="1" t="s">
        <v>888</v>
      </c>
      <c r="F87" s="1" t="s">
        <v>638</v>
      </c>
      <c r="G87" s="1" t="s">
        <v>637</v>
      </c>
      <c r="H87" s="1" t="s">
        <v>628</v>
      </c>
      <c r="I87" s="1" t="s">
        <v>1182</v>
      </c>
    </row>
    <row r="88" spans="1:9" x14ac:dyDescent="0.3">
      <c r="A88" s="1" t="s">
        <v>1185</v>
      </c>
      <c r="B88" s="1" t="s">
        <v>630</v>
      </c>
      <c r="C88" s="1" t="s">
        <v>1185</v>
      </c>
      <c r="D88" s="1" t="s">
        <v>887</v>
      </c>
      <c r="E88" s="1" t="s">
        <v>887</v>
      </c>
      <c r="F88" s="1" t="s">
        <v>632</v>
      </c>
      <c r="G88" s="1" t="s">
        <v>631</v>
      </c>
      <c r="H88" s="1" t="s">
        <v>628</v>
      </c>
      <c r="I88" s="1" t="s">
        <v>1182</v>
      </c>
    </row>
    <row r="89" spans="1:9" x14ac:dyDescent="0.3">
      <c r="A89" s="1" t="s">
        <v>1186</v>
      </c>
      <c r="B89" s="1" t="s">
        <v>639</v>
      </c>
      <c r="C89" s="1" t="s">
        <v>1186</v>
      </c>
      <c r="D89" s="1" t="s">
        <v>887</v>
      </c>
      <c r="E89" s="1" t="s">
        <v>887</v>
      </c>
      <c r="F89" s="1" t="s">
        <v>641</v>
      </c>
      <c r="G89" s="1" t="s">
        <v>640</v>
      </c>
      <c r="H89" s="1" t="s">
        <v>628</v>
      </c>
      <c r="I89" s="1" t="s">
        <v>1182</v>
      </c>
    </row>
    <row r="90" spans="1:9" x14ac:dyDescent="0.3">
      <c r="A90" s="1" t="s">
        <v>1187</v>
      </c>
      <c r="B90" s="1" t="s">
        <v>660</v>
      </c>
      <c r="C90" s="1" t="s">
        <v>1187</v>
      </c>
      <c r="D90" s="1" t="s">
        <v>887</v>
      </c>
      <c r="E90" s="1" t="s">
        <v>887</v>
      </c>
      <c r="F90" s="1" t="s">
        <v>662</v>
      </c>
      <c r="G90" s="1" t="s">
        <v>661</v>
      </c>
      <c r="H90" s="1" t="s">
        <v>628</v>
      </c>
      <c r="I90" s="1" t="s">
        <v>1182</v>
      </c>
    </row>
    <row r="91" spans="1:9" x14ac:dyDescent="0.3">
      <c r="A91" s="1" t="s">
        <v>1188</v>
      </c>
      <c r="B91" s="1" t="s">
        <v>642</v>
      </c>
      <c r="C91" s="1" t="s">
        <v>1188</v>
      </c>
      <c r="D91" s="1" t="s">
        <v>887</v>
      </c>
      <c r="E91" s="1" t="s">
        <v>888</v>
      </c>
      <c r="F91" s="1" t="s">
        <v>644</v>
      </c>
      <c r="G91" s="1" t="s">
        <v>643</v>
      </c>
      <c r="H91" s="1" t="s">
        <v>628</v>
      </c>
      <c r="I91" s="1" t="s">
        <v>1182</v>
      </c>
    </row>
    <row r="92" spans="1:9" x14ac:dyDescent="0.3">
      <c r="A92" s="1" t="s">
        <v>1189</v>
      </c>
      <c r="B92" s="1" t="s">
        <v>645</v>
      </c>
      <c r="C92" s="1" t="s">
        <v>1189</v>
      </c>
      <c r="D92" s="1" t="s">
        <v>887</v>
      </c>
      <c r="E92" s="1" t="s">
        <v>887</v>
      </c>
      <c r="F92" s="1" t="s">
        <v>647</v>
      </c>
      <c r="G92" s="1" t="s">
        <v>646</v>
      </c>
      <c r="H92" s="1" t="s">
        <v>628</v>
      </c>
      <c r="I92" s="1" t="s">
        <v>1182</v>
      </c>
    </row>
    <row r="93" spans="1:9" x14ac:dyDescent="0.3">
      <c r="A93" s="1" t="s">
        <v>1190</v>
      </c>
      <c r="B93" s="1" t="s">
        <v>648</v>
      </c>
      <c r="C93" s="1" t="s">
        <v>1190</v>
      </c>
      <c r="D93" s="1" t="s">
        <v>887</v>
      </c>
      <c r="E93" s="1" t="s">
        <v>888</v>
      </c>
      <c r="F93" s="1" t="s">
        <v>650</v>
      </c>
      <c r="G93" s="1" t="s">
        <v>649</v>
      </c>
      <c r="H93" s="1" t="s">
        <v>628</v>
      </c>
      <c r="I93" s="1" t="s">
        <v>1182</v>
      </c>
    </row>
    <row r="94" spans="1:9" x14ac:dyDescent="0.3">
      <c r="A94" s="1" t="s">
        <v>1191</v>
      </c>
      <c r="B94" s="1" t="s">
        <v>651</v>
      </c>
      <c r="C94" s="1" t="s">
        <v>1191</v>
      </c>
      <c r="D94" s="1" t="s">
        <v>887</v>
      </c>
      <c r="E94" s="1" t="s">
        <v>887</v>
      </c>
      <c r="F94" s="1" t="s">
        <v>653</v>
      </c>
      <c r="G94" s="1" t="s">
        <v>652</v>
      </c>
      <c r="H94" s="1" t="s">
        <v>628</v>
      </c>
      <c r="I94" s="1" t="s">
        <v>1182</v>
      </c>
    </row>
    <row r="95" spans="1:9" x14ac:dyDescent="0.3">
      <c r="A95" s="1" t="s">
        <v>1192</v>
      </c>
      <c r="B95" s="1" t="s">
        <v>654</v>
      </c>
      <c r="C95" s="1" t="s">
        <v>1192</v>
      </c>
      <c r="D95" s="1" t="s">
        <v>887</v>
      </c>
      <c r="E95" s="1" t="s">
        <v>888</v>
      </c>
      <c r="F95" s="1" t="s">
        <v>656</v>
      </c>
      <c r="G95" s="1" t="s">
        <v>655</v>
      </c>
      <c r="H95" s="1" t="s">
        <v>628</v>
      </c>
      <c r="I95" s="1" t="s">
        <v>1182</v>
      </c>
    </row>
    <row r="96" spans="1:9" x14ac:dyDescent="0.3">
      <c r="A96" s="1" t="s">
        <v>1193</v>
      </c>
      <c r="B96" s="1" t="s">
        <v>657</v>
      </c>
      <c r="C96" s="1" t="s">
        <v>1193</v>
      </c>
      <c r="D96" s="1" t="s">
        <v>887</v>
      </c>
      <c r="E96" s="1" t="s">
        <v>887</v>
      </c>
      <c r="F96" s="1" t="s">
        <v>659</v>
      </c>
      <c r="G96" s="1" t="s">
        <v>658</v>
      </c>
      <c r="H96" s="1" t="s">
        <v>628</v>
      </c>
      <c r="I96" s="1" t="s">
        <v>1182</v>
      </c>
    </row>
    <row r="97" spans="1:9" x14ac:dyDescent="0.3">
      <c r="A97" s="1" t="s">
        <v>1194</v>
      </c>
      <c r="B97" s="1" t="s">
        <v>663</v>
      </c>
      <c r="C97" s="1" t="s">
        <v>1194</v>
      </c>
      <c r="D97" s="1" t="s">
        <v>887</v>
      </c>
      <c r="E97" s="1" t="s">
        <v>888</v>
      </c>
      <c r="F97" s="1" t="s">
        <v>665</v>
      </c>
      <c r="G97" s="1" t="s">
        <v>664</v>
      </c>
      <c r="H97" s="1" t="s">
        <v>628</v>
      </c>
      <c r="I97" s="1" t="s">
        <v>1182</v>
      </c>
    </row>
    <row r="98" spans="1:9" x14ac:dyDescent="0.3">
      <c r="A98" s="1" t="s">
        <v>1195</v>
      </c>
      <c r="B98" s="1" t="s">
        <v>359</v>
      </c>
      <c r="C98" s="1" t="s">
        <v>1195</v>
      </c>
      <c r="D98" s="1" t="s">
        <v>889</v>
      </c>
      <c r="E98" s="1" t="s">
        <v>890</v>
      </c>
      <c r="F98" s="1" t="s">
        <v>362</v>
      </c>
      <c r="G98" s="1" t="s">
        <v>360</v>
      </c>
      <c r="H98" s="1" t="s">
        <v>361</v>
      </c>
      <c r="I98" s="1" t="s">
        <v>1196</v>
      </c>
    </row>
    <row r="99" spans="1:9" x14ac:dyDescent="0.3">
      <c r="A99" s="1" t="s">
        <v>1197</v>
      </c>
      <c r="B99" s="1" t="s">
        <v>363</v>
      </c>
      <c r="C99" s="1" t="s">
        <v>1197</v>
      </c>
      <c r="D99" s="1" t="s">
        <v>889</v>
      </c>
      <c r="E99" s="1" t="s">
        <v>890</v>
      </c>
      <c r="F99" s="1" t="s">
        <v>365</v>
      </c>
      <c r="G99" s="1" t="s">
        <v>364</v>
      </c>
      <c r="H99" s="1" t="s">
        <v>361</v>
      </c>
      <c r="I99" s="1" t="s">
        <v>1196</v>
      </c>
    </row>
    <row r="100" spans="1:9" x14ac:dyDescent="0.3">
      <c r="A100" s="1" t="s">
        <v>1198</v>
      </c>
      <c r="B100" s="1" t="s">
        <v>375</v>
      </c>
      <c r="C100" s="1" t="s">
        <v>1198</v>
      </c>
      <c r="D100" s="1" t="s">
        <v>889</v>
      </c>
      <c r="E100" s="1" t="s">
        <v>890</v>
      </c>
      <c r="F100" s="1" t="s">
        <v>377</v>
      </c>
      <c r="G100" s="1" t="s">
        <v>376</v>
      </c>
      <c r="H100" s="1" t="s">
        <v>361</v>
      </c>
      <c r="I100" s="1" t="s">
        <v>1196</v>
      </c>
    </row>
    <row r="101" spans="1:9" x14ac:dyDescent="0.3">
      <c r="A101" s="1" t="s">
        <v>1199</v>
      </c>
      <c r="B101" s="1" t="s">
        <v>891</v>
      </c>
      <c r="C101" s="1" t="s">
        <v>1199</v>
      </c>
      <c r="D101" s="1" t="s">
        <v>889</v>
      </c>
      <c r="E101" s="1" t="s">
        <v>890</v>
      </c>
      <c r="F101" s="1" t="s">
        <v>892</v>
      </c>
      <c r="G101" s="1" t="s">
        <v>893</v>
      </c>
      <c r="H101" s="1" t="s">
        <v>361</v>
      </c>
      <c r="I101" s="1" t="s">
        <v>1196</v>
      </c>
    </row>
    <row r="102" spans="1:9" x14ac:dyDescent="0.3">
      <c r="A102" s="1" t="s">
        <v>1200</v>
      </c>
      <c r="B102" s="1" t="s">
        <v>381</v>
      </c>
      <c r="C102" s="1" t="s">
        <v>1200</v>
      </c>
      <c r="D102" s="1" t="s">
        <v>889</v>
      </c>
      <c r="E102" s="1" t="s">
        <v>890</v>
      </c>
      <c r="F102" s="1" t="s">
        <v>383</v>
      </c>
      <c r="G102" s="1" t="s">
        <v>382</v>
      </c>
      <c r="H102" s="1" t="s">
        <v>361</v>
      </c>
      <c r="I102" s="1" t="s">
        <v>1196</v>
      </c>
    </row>
    <row r="103" spans="1:9" x14ac:dyDescent="0.3">
      <c r="A103" s="1" t="s">
        <v>1201</v>
      </c>
      <c r="B103" s="1" t="s">
        <v>384</v>
      </c>
      <c r="C103" s="1" t="s">
        <v>1201</v>
      </c>
      <c r="D103" s="1" t="s">
        <v>889</v>
      </c>
      <c r="E103" s="1" t="s">
        <v>890</v>
      </c>
      <c r="F103" s="1" t="s">
        <v>386</v>
      </c>
      <c r="G103" s="1" t="s">
        <v>385</v>
      </c>
      <c r="H103" s="1" t="s">
        <v>361</v>
      </c>
      <c r="I103" s="1" t="s">
        <v>1196</v>
      </c>
    </row>
    <row r="104" spans="1:9" x14ac:dyDescent="0.3">
      <c r="A104" s="1" t="s">
        <v>1202</v>
      </c>
      <c r="B104" s="1" t="s">
        <v>387</v>
      </c>
      <c r="C104" s="1" t="s">
        <v>1202</v>
      </c>
      <c r="D104" s="1" t="s">
        <v>889</v>
      </c>
      <c r="E104" s="1" t="s">
        <v>890</v>
      </c>
      <c r="F104" s="1" t="s">
        <v>389</v>
      </c>
      <c r="G104" s="1" t="s">
        <v>388</v>
      </c>
      <c r="H104" s="1" t="s">
        <v>361</v>
      </c>
      <c r="I104" s="1" t="s">
        <v>1196</v>
      </c>
    </row>
    <row r="105" spans="1:9" x14ac:dyDescent="0.3">
      <c r="A105" s="1" t="s">
        <v>1203</v>
      </c>
      <c r="B105" s="1" t="s">
        <v>393</v>
      </c>
      <c r="C105" s="1" t="s">
        <v>1203</v>
      </c>
      <c r="D105" s="1" t="s">
        <v>889</v>
      </c>
      <c r="E105" s="1" t="s">
        <v>890</v>
      </c>
      <c r="F105" s="1" t="s">
        <v>395</v>
      </c>
      <c r="G105" s="1" t="s">
        <v>394</v>
      </c>
      <c r="H105" s="1" t="s">
        <v>361</v>
      </c>
      <c r="I105" s="1" t="s">
        <v>1196</v>
      </c>
    </row>
    <row r="106" spans="1:9" x14ac:dyDescent="0.3">
      <c r="A106" s="1" t="s">
        <v>1204</v>
      </c>
      <c r="B106" s="1" t="s">
        <v>396</v>
      </c>
      <c r="C106" s="1" t="s">
        <v>1204</v>
      </c>
      <c r="D106" s="1" t="s">
        <v>889</v>
      </c>
      <c r="E106" s="1" t="s">
        <v>890</v>
      </c>
      <c r="F106" s="1" t="s">
        <v>398</v>
      </c>
      <c r="G106" s="1" t="s">
        <v>397</v>
      </c>
      <c r="H106" s="1" t="s">
        <v>361</v>
      </c>
      <c r="I106" s="1" t="s">
        <v>1196</v>
      </c>
    </row>
    <row r="107" spans="1:9" x14ac:dyDescent="0.3">
      <c r="A107" s="1" t="s">
        <v>1205</v>
      </c>
      <c r="B107" s="1" t="s">
        <v>402</v>
      </c>
      <c r="C107" s="1" t="s">
        <v>1205</v>
      </c>
      <c r="D107" s="1" t="s">
        <v>889</v>
      </c>
      <c r="E107" s="1" t="s">
        <v>890</v>
      </c>
      <c r="F107" s="1" t="s">
        <v>404</v>
      </c>
      <c r="G107" s="1" t="s">
        <v>403</v>
      </c>
      <c r="H107" s="1" t="s">
        <v>361</v>
      </c>
      <c r="I107" s="1" t="s">
        <v>1196</v>
      </c>
    </row>
    <row r="108" spans="1:9" x14ac:dyDescent="0.3">
      <c r="A108" s="1" t="s">
        <v>1206</v>
      </c>
      <c r="B108" s="1" t="s">
        <v>18</v>
      </c>
      <c r="C108" s="1" t="s">
        <v>1206</v>
      </c>
      <c r="D108" s="1" t="s">
        <v>894</v>
      </c>
      <c r="E108" s="1" t="s">
        <v>895</v>
      </c>
      <c r="F108" s="1" t="s">
        <v>21</v>
      </c>
      <c r="G108" s="1" t="s">
        <v>19</v>
      </c>
      <c r="H108" s="1" t="s">
        <v>20</v>
      </c>
      <c r="I108" s="1" t="s">
        <v>1207</v>
      </c>
    </row>
    <row r="109" spans="1:9" x14ac:dyDescent="0.3">
      <c r="A109" s="1" t="s">
        <v>1208</v>
      </c>
      <c r="B109" s="1" t="s">
        <v>405</v>
      </c>
      <c r="C109" s="1" t="s">
        <v>1208</v>
      </c>
      <c r="D109" s="1" t="s">
        <v>894</v>
      </c>
      <c r="E109" s="1" t="s">
        <v>896</v>
      </c>
      <c r="F109" s="1" t="s">
        <v>407</v>
      </c>
      <c r="G109" s="1" t="s">
        <v>406</v>
      </c>
      <c r="H109" s="1" t="s">
        <v>20</v>
      </c>
      <c r="I109" s="1" t="s">
        <v>1207</v>
      </c>
    </row>
    <row r="110" spans="1:9" x14ac:dyDescent="0.3">
      <c r="A110" s="1" t="s">
        <v>1209</v>
      </c>
      <c r="B110" s="1" t="s">
        <v>26</v>
      </c>
      <c r="C110" s="1" t="s">
        <v>1209</v>
      </c>
      <c r="D110" s="1" t="s">
        <v>894</v>
      </c>
      <c r="E110" s="1" t="s">
        <v>897</v>
      </c>
      <c r="F110" s="1" t="s">
        <v>28</v>
      </c>
      <c r="G110" s="1" t="s">
        <v>27</v>
      </c>
      <c r="H110" s="1" t="s">
        <v>20</v>
      </c>
      <c r="I110" s="1" t="s">
        <v>1207</v>
      </c>
    </row>
    <row r="111" spans="1:9" x14ac:dyDescent="0.3">
      <c r="A111" s="1" t="s">
        <v>1210</v>
      </c>
      <c r="B111" s="1" t="s">
        <v>669</v>
      </c>
      <c r="C111" s="1" t="s">
        <v>1210</v>
      </c>
      <c r="D111" s="1" t="s">
        <v>894</v>
      </c>
      <c r="E111" s="1" t="s">
        <v>897</v>
      </c>
      <c r="F111" s="1" t="s">
        <v>671</v>
      </c>
      <c r="G111" s="1" t="s">
        <v>670</v>
      </c>
      <c r="H111" s="1" t="s">
        <v>20</v>
      </c>
      <c r="I111" s="1" t="s">
        <v>1207</v>
      </c>
    </row>
    <row r="112" spans="1:9" x14ac:dyDescent="0.3">
      <c r="A112" s="1" t="s">
        <v>1211</v>
      </c>
      <c r="B112" s="1" t="s">
        <v>408</v>
      </c>
      <c r="C112" s="1" t="s">
        <v>1211</v>
      </c>
      <c r="D112" s="1" t="s">
        <v>894</v>
      </c>
      <c r="E112" s="1" t="s">
        <v>896</v>
      </c>
      <c r="F112" s="1" t="s">
        <v>410</v>
      </c>
      <c r="G112" s="1" t="s">
        <v>409</v>
      </c>
      <c r="H112" s="1" t="s">
        <v>20</v>
      </c>
      <c r="I112" s="1" t="s">
        <v>1207</v>
      </c>
    </row>
    <row r="113" spans="1:9" x14ac:dyDescent="0.3">
      <c r="A113" s="1" t="s">
        <v>1212</v>
      </c>
      <c r="B113" s="1" t="s">
        <v>411</v>
      </c>
      <c r="C113" s="1" t="s">
        <v>1212</v>
      </c>
      <c r="D113" s="1" t="s">
        <v>894</v>
      </c>
      <c r="E113" s="1" t="s">
        <v>897</v>
      </c>
      <c r="F113" s="1" t="s">
        <v>413</v>
      </c>
      <c r="G113" s="1" t="s">
        <v>412</v>
      </c>
      <c r="H113" s="1" t="s">
        <v>20</v>
      </c>
      <c r="I113" s="1" t="s">
        <v>1207</v>
      </c>
    </row>
    <row r="114" spans="1:9" x14ac:dyDescent="0.3">
      <c r="A114" s="1" t="s">
        <v>1213</v>
      </c>
      <c r="B114" s="1" t="s">
        <v>501</v>
      </c>
      <c r="C114" s="1" t="s">
        <v>1213</v>
      </c>
      <c r="D114" s="1" t="s">
        <v>894</v>
      </c>
      <c r="E114" s="1" t="s">
        <v>895</v>
      </c>
      <c r="F114" s="1" t="s">
        <v>503</v>
      </c>
      <c r="G114" s="1" t="s">
        <v>502</v>
      </c>
      <c r="H114" s="1" t="s">
        <v>20</v>
      </c>
      <c r="I114" s="1" t="s">
        <v>1207</v>
      </c>
    </row>
    <row r="115" spans="1:9" x14ac:dyDescent="0.3">
      <c r="A115" s="1" t="s">
        <v>1214</v>
      </c>
      <c r="B115" s="1" t="s">
        <v>196</v>
      </c>
      <c r="C115" s="1" t="s">
        <v>1214</v>
      </c>
      <c r="D115" s="1" t="s">
        <v>894</v>
      </c>
      <c r="E115" s="1" t="s">
        <v>895</v>
      </c>
      <c r="F115" s="1" t="s">
        <v>199</v>
      </c>
      <c r="G115" s="1" t="s">
        <v>197</v>
      </c>
      <c r="H115" s="1" t="s">
        <v>198</v>
      </c>
      <c r="I115" s="1" t="s">
        <v>1207</v>
      </c>
    </row>
    <row r="116" spans="1:9" x14ac:dyDescent="0.3">
      <c r="A116" s="1" t="s">
        <v>1215</v>
      </c>
      <c r="B116" s="1" t="s">
        <v>200</v>
      </c>
      <c r="C116" s="1" t="s">
        <v>1215</v>
      </c>
      <c r="D116" s="1" t="s">
        <v>894</v>
      </c>
      <c r="E116" s="1" t="s">
        <v>895</v>
      </c>
      <c r="F116" s="1" t="s">
        <v>202</v>
      </c>
      <c r="G116" s="1" t="s">
        <v>201</v>
      </c>
      <c r="H116" s="1" t="s">
        <v>198</v>
      </c>
      <c r="I116" s="1" t="s">
        <v>1207</v>
      </c>
    </row>
    <row r="117" spans="1:9" x14ac:dyDescent="0.3">
      <c r="A117" s="1" t="s">
        <v>1216</v>
      </c>
      <c r="B117" s="1" t="s">
        <v>203</v>
      </c>
      <c r="C117" s="1" t="s">
        <v>1216</v>
      </c>
      <c r="D117" s="1" t="s">
        <v>894</v>
      </c>
      <c r="E117" s="1" t="s">
        <v>895</v>
      </c>
      <c r="F117" s="1" t="s">
        <v>205</v>
      </c>
      <c r="G117" s="1" t="s">
        <v>204</v>
      </c>
      <c r="H117" s="1" t="s">
        <v>198</v>
      </c>
      <c r="I117" s="1" t="s">
        <v>1207</v>
      </c>
    </row>
    <row r="118" spans="1:9" x14ac:dyDescent="0.3">
      <c r="A118" s="1" t="s">
        <v>1217</v>
      </c>
      <c r="B118" s="1" t="s">
        <v>235</v>
      </c>
      <c r="C118" s="1" t="s">
        <v>1217</v>
      </c>
      <c r="D118" s="1" t="s">
        <v>801</v>
      </c>
      <c r="E118" s="1" t="s">
        <v>898</v>
      </c>
      <c r="F118" s="1" t="s">
        <v>238</v>
      </c>
      <c r="G118" s="1" t="s">
        <v>236</v>
      </c>
      <c r="H118" s="1" t="s">
        <v>237</v>
      </c>
      <c r="I118" s="1" t="s">
        <v>1218</v>
      </c>
    </row>
    <row r="119" spans="1:9" x14ac:dyDescent="0.3">
      <c r="A119" s="1" t="s">
        <v>1219</v>
      </c>
      <c r="B119" s="1" t="s">
        <v>239</v>
      </c>
      <c r="C119" s="1" t="s">
        <v>1219</v>
      </c>
      <c r="D119" s="1" t="s">
        <v>801</v>
      </c>
      <c r="E119" s="1" t="s">
        <v>898</v>
      </c>
      <c r="F119" s="1" t="s">
        <v>241</v>
      </c>
      <c r="G119" s="1" t="s">
        <v>240</v>
      </c>
      <c r="H119" s="1" t="s">
        <v>237</v>
      </c>
      <c r="I119" s="1" t="s">
        <v>1218</v>
      </c>
    </row>
    <row r="120" spans="1:9" x14ac:dyDescent="0.3">
      <c r="A120" s="1" t="s">
        <v>1220</v>
      </c>
      <c r="B120" s="1" t="s">
        <v>242</v>
      </c>
      <c r="C120" s="1" t="s">
        <v>1220</v>
      </c>
      <c r="D120" s="1" t="s">
        <v>801</v>
      </c>
      <c r="E120" s="1" t="s">
        <v>898</v>
      </c>
      <c r="F120" s="1" t="s">
        <v>244</v>
      </c>
      <c r="G120" s="1" t="s">
        <v>243</v>
      </c>
      <c r="H120" s="1" t="s">
        <v>237</v>
      </c>
      <c r="I120" s="1" t="s">
        <v>1218</v>
      </c>
    </row>
    <row r="121" spans="1:9" x14ac:dyDescent="0.3">
      <c r="A121" s="1" t="s">
        <v>1221</v>
      </c>
      <c r="B121" s="1" t="s">
        <v>324</v>
      </c>
      <c r="C121" s="1" t="s">
        <v>1221</v>
      </c>
      <c r="D121" s="1" t="s">
        <v>801</v>
      </c>
      <c r="E121" s="1" t="s">
        <v>898</v>
      </c>
      <c r="F121" s="1" t="s">
        <v>326</v>
      </c>
      <c r="G121" s="1" t="s">
        <v>325</v>
      </c>
      <c r="H121" s="1" t="s">
        <v>237</v>
      </c>
      <c r="I121" s="1" t="s">
        <v>1218</v>
      </c>
    </row>
    <row r="122" spans="1:9" x14ac:dyDescent="0.3">
      <c r="A122" s="1" t="s">
        <v>1222</v>
      </c>
      <c r="B122" s="1" t="s">
        <v>101</v>
      </c>
      <c r="C122" s="1" t="s">
        <v>1222</v>
      </c>
      <c r="D122" s="1" t="s">
        <v>833</v>
      </c>
      <c r="E122" s="1" t="s">
        <v>834</v>
      </c>
      <c r="F122" s="1" t="s">
        <v>104</v>
      </c>
      <c r="G122" s="1" t="s">
        <v>102</v>
      </c>
      <c r="H122" s="1" t="s">
        <v>103</v>
      </c>
      <c r="I122" s="1" t="s">
        <v>1223</v>
      </c>
    </row>
    <row r="123" spans="1:9" x14ac:dyDescent="0.3">
      <c r="A123" s="1" t="s">
        <v>1224</v>
      </c>
      <c r="B123" s="1" t="s">
        <v>336</v>
      </c>
      <c r="C123" s="1" t="s">
        <v>1224</v>
      </c>
      <c r="D123" s="1" t="s">
        <v>899</v>
      </c>
      <c r="E123" s="1" t="s">
        <v>899</v>
      </c>
      <c r="F123" s="1" t="s">
        <v>338</v>
      </c>
      <c r="G123" s="1" t="s">
        <v>337</v>
      </c>
      <c r="H123" s="1" t="s">
        <v>103</v>
      </c>
      <c r="I123" s="1" t="s">
        <v>1223</v>
      </c>
    </row>
    <row r="124" spans="1:9" x14ac:dyDescent="0.3">
      <c r="A124" s="1" t="s">
        <v>1225</v>
      </c>
      <c r="B124" s="1" t="s">
        <v>755</v>
      </c>
      <c r="C124" s="1" t="s">
        <v>1225</v>
      </c>
      <c r="D124" s="1" t="s">
        <v>899</v>
      </c>
      <c r="E124" s="1" t="s">
        <v>899</v>
      </c>
      <c r="F124" s="1" t="s">
        <v>757</v>
      </c>
      <c r="G124" s="1" t="s">
        <v>756</v>
      </c>
      <c r="H124" s="1" t="s">
        <v>447</v>
      </c>
      <c r="I124" s="1" t="s">
        <v>1226</v>
      </c>
    </row>
    <row r="125" spans="1:9" x14ac:dyDescent="0.3">
      <c r="A125" s="1" t="s">
        <v>1227</v>
      </c>
      <c r="B125" s="1" t="s">
        <v>550</v>
      </c>
      <c r="C125" s="1" t="s">
        <v>1227</v>
      </c>
      <c r="D125" s="1" t="s">
        <v>805</v>
      </c>
      <c r="E125" s="1" t="s">
        <v>832</v>
      </c>
      <c r="F125" s="1" t="s">
        <v>552</v>
      </c>
      <c r="G125" s="1" t="s">
        <v>551</v>
      </c>
      <c r="H125" s="1" t="s">
        <v>447</v>
      </c>
      <c r="I125" s="1" t="s">
        <v>1226</v>
      </c>
    </row>
    <row r="126" spans="1:9" x14ac:dyDescent="0.3">
      <c r="A126" s="1" t="s">
        <v>1228</v>
      </c>
      <c r="B126" s="1" t="s">
        <v>445</v>
      </c>
      <c r="C126" s="1" t="s">
        <v>1228</v>
      </c>
      <c r="D126" s="1" t="s">
        <v>899</v>
      </c>
      <c r="E126" s="1" t="s">
        <v>899</v>
      </c>
      <c r="F126" s="1" t="s">
        <v>448</v>
      </c>
      <c r="G126" s="1" t="s">
        <v>446</v>
      </c>
      <c r="H126" s="1" t="s">
        <v>447</v>
      </c>
      <c r="I126" s="1" t="s">
        <v>1226</v>
      </c>
    </row>
    <row r="127" spans="1:9" x14ac:dyDescent="0.3">
      <c r="A127" s="1" t="s">
        <v>1229</v>
      </c>
      <c r="B127" s="1" t="s">
        <v>538</v>
      </c>
      <c r="C127" s="1" t="s">
        <v>1229</v>
      </c>
      <c r="D127" s="1" t="s">
        <v>805</v>
      </c>
      <c r="E127" s="1" t="s">
        <v>832</v>
      </c>
      <c r="F127" s="1" t="s">
        <v>540</v>
      </c>
      <c r="G127" s="1" t="s">
        <v>539</v>
      </c>
      <c r="H127" s="1" t="s">
        <v>447</v>
      </c>
      <c r="I127" s="1" t="s">
        <v>1226</v>
      </c>
    </row>
    <row r="128" spans="1:9" x14ac:dyDescent="0.3">
      <c r="A128" s="1" t="s">
        <v>1230</v>
      </c>
      <c r="B128" s="1" t="s">
        <v>452</v>
      </c>
      <c r="C128" s="1" t="s">
        <v>1230</v>
      </c>
      <c r="D128" s="1" t="s">
        <v>899</v>
      </c>
      <c r="E128" s="1" t="s">
        <v>899</v>
      </c>
      <c r="F128" s="1" t="s">
        <v>454</v>
      </c>
      <c r="G128" s="1" t="s">
        <v>453</v>
      </c>
      <c r="H128" s="1" t="s">
        <v>447</v>
      </c>
      <c r="I128" s="1" t="s">
        <v>1226</v>
      </c>
    </row>
    <row r="129" spans="1:9" x14ac:dyDescent="0.3">
      <c r="A129" s="1" t="s">
        <v>1231</v>
      </c>
      <c r="B129" s="1" t="s">
        <v>455</v>
      </c>
      <c r="C129" s="1" t="s">
        <v>1231</v>
      </c>
      <c r="D129" s="1" t="s">
        <v>805</v>
      </c>
      <c r="E129" s="1" t="s">
        <v>832</v>
      </c>
      <c r="F129" s="1" t="s">
        <v>457</v>
      </c>
      <c r="G129" s="1" t="s">
        <v>456</v>
      </c>
      <c r="H129" s="1" t="s">
        <v>447</v>
      </c>
      <c r="I129" s="1" t="s">
        <v>1226</v>
      </c>
    </row>
    <row r="130" spans="1:9" x14ac:dyDescent="0.3">
      <c r="A130" s="1" t="s">
        <v>1232</v>
      </c>
      <c r="B130" s="1" t="s">
        <v>458</v>
      </c>
      <c r="C130" s="1" t="s">
        <v>1232</v>
      </c>
      <c r="D130" s="1" t="s">
        <v>899</v>
      </c>
      <c r="E130" s="1" t="s">
        <v>899</v>
      </c>
      <c r="F130" s="1" t="s">
        <v>460</v>
      </c>
      <c r="G130" s="1" t="s">
        <v>459</v>
      </c>
      <c r="H130" s="1" t="s">
        <v>447</v>
      </c>
      <c r="I130" s="1" t="s">
        <v>1226</v>
      </c>
    </row>
    <row r="131" spans="1:9" x14ac:dyDescent="0.3">
      <c r="A131" s="1" t="s">
        <v>1233</v>
      </c>
      <c r="B131" s="1" t="s">
        <v>541</v>
      </c>
      <c r="C131" s="1" t="s">
        <v>1233</v>
      </c>
      <c r="D131" s="1" t="s">
        <v>805</v>
      </c>
      <c r="E131" s="1" t="s">
        <v>832</v>
      </c>
      <c r="F131" s="1" t="s">
        <v>543</v>
      </c>
      <c r="G131" s="1" t="s">
        <v>542</v>
      </c>
      <c r="H131" s="1" t="s">
        <v>447</v>
      </c>
      <c r="I131" s="1" t="s">
        <v>1226</v>
      </c>
    </row>
    <row r="132" spans="1:9" x14ac:dyDescent="0.3">
      <c r="A132" s="1" t="s">
        <v>1234</v>
      </c>
      <c r="B132" s="1" t="s">
        <v>461</v>
      </c>
      <c r="C132" s="1" t="s">
        <v>1234</v>
      </c>
      <c r="D132" s="1" t="s">
        <v>899</v>
      </c>
      <c r="E132" s="1" t="s">
        <v>899</v>
      </c>
      <c r="F132" s="1" t="s">
        <v>463</v>
      </c>
      <c r="G132" s="1" t="s">
        <v>462</v>
      </c>
      <c r="H132" s="1" t="s">
        <v>447</v>
      </c>
      <c r="I132" s="1" t="s">
        <v>1226</v>
      </c>
    </row>
    <row r="133" spans="1:9" x14ac:dyDescent="0.3">
      <c r="A133" s="1" t="s">
        <v>1235</v>
      </c>
      <c r="B133" s="1" t="s">
        <v>544</v>
      </c>
      <c r="C133" s="1" t="s">
        <v>1235</v>
      </c>
      <c r="D133" s="1" t="s">
        <v>899</v>
      </c>
      <c r="E133" s="1" t="s">
        <v>899</v>
      </c>
      <c r="F133" s="1" t="s">
        <v>546</v>
      </c>
      <c r="G133" s="1" t="s">
        <v>545</v>
      </c>
      <c r="H133" s="1" t="s">
        <v>447</v>
      </c>
      <c r="I133" s="1" t="s">
        <v>1226</v>
      </c>
    </row>
    <row r="134" spans="1:9" x14ac:dyDescent="0.3">
      <c r="A134" s="1" t="s">
        <v>1236</v>
      </c>
      <c r="B134" s="1" t="s">
        <v>758</v>
      </c>
      <c r="C134" s="1" t="s">
        <v>1236</v>
      </c>
      <c r="D134" s="1" t="s">
        <v>899</v>
      </c>
      <c r="E134" s="1" t="s">
        <v>899</v>
      </c>
      <c r="F134" s="1" t="s">
        <v>760</v>
      </c>
      <c r="G134" s="1" t="s">
        <v>759</v>
      </c>
      <c r="H134" s="1" t="s">
        <v>447</v>
      </c>
      <c r="I134" s="1" t="s">
        <v>1226</v>
      </c>
    </row>
    <row r="135" spans="1:9" x14ac:dyDescent="0.3">
      <c r="A135" s="1" t="s">
        <v>1237</v>
      </c>
      <c r="B135" s="1" t="s">
        <v>761</v>
      </c>
      <c r="C135" s="1" t="s">
        <v>1237</v>
      </c>
      <c r="D135" s="1" t="s">
        <v>899</v>
      </c>
      <c r="E135" s="1" t="s">
        <v>899</v>
      </c>
      <c r="F135" s="1" t="s">
        <v>763</v>
      </c>
      <c r="G135" s="1" t="s">
        <v>762</v>
      </c>
      <c r="H135" s="1" t="s">
        <v>447</v>
      </c>
      <c r="I135" s="1" t="s">
        <v>1226</v>
      </c>
    </row>
    <row r="136" spans="1:9" x14ac:dyDescent="0.3">
      <c r="A136" s="1" t="s">
        <v>1238</v>
      </c>
      <c r="B136" s="1" t="s">
        <v>464</v>
      </c>
      <c r="C136" s="1" t="s">
        <v>1238</v>
      </c>
      <c r="D136" s="1" t="s">
        <v>899</v>
      </c>
      <c r="E136" s="1" t="s">
        <v>899</v>
      </c>
      <c r="F136" s="1" t="s">
        <v>466</v>
      </c>
      <c r="G136" s="1" t="s">
        <v>465</v>
      </c>
      <c r="H136" s="1" t="s">
        <v>447</v>
      </c>
      <c r="I136" s="1" t="s">
        <v>1226</v>
      </c>
    </row>
    <row r="137" spans="1:9" x14ac:dyDescent="0.3">
      <c r="A137" s="1" t="s">
        <v>1239</v>
      </c>
      <c r="B137" s="1" t="s">
        <v>467</v>
      </c>
      <c r="C137" s="1" t="s">
        <v>1239</v>
      </c>
      <c r="D137" s="1" t="s">
        <v>805</v>
      </c>
      <c r="E137" s="1" t="s">
        <v>832</v>
      </c>
      <c r="F137" s="1" t="s">
        <v>469</v>
      </c>
      <c r="G137" s="1" t="s">
        <v>468</v>
      </c>
      <c r="H137" s="1" t="s">
        <v>447</v>
      </c>
      <c r="I137" s="1" t="s">
        <v>1226</v>
      </c>
    </row>
    <row r="138" spans="1:9" x14ac:dyDescent="0.3">
      <c r="A138" s="1" t="s">
        <v>1240</v>
      </c>
      <c r="B138" s="1" t="s">
        <v>764</v>
      </c>
      <c r="C138" s="1" t="s">
        <v>1240</v>
      </c>
      <c r="D138" s="1" t="s">
        <v>899</v>
      </c>
      <c r="E138" s="1" t="s">
        <v>899</v>
      </c>
      <c r="F138" s="1" t="s">
        <v>766</v>
      </c>
      <c r="G138" s="1" t="s">
        <v>765</v>
      </c>
      <c r="H138" s="1" t="s">
        <v>447</v>
      </c>
      <c r="I138" s="1" t="s">
        <v>1226</v>
      </c>
    </row>
    <row r="139" spans="1:9" x14ac:dyDescent="0.3">
      <c r="A139" s="1" t="s">
        <v>1241</v>
      </c>
      <c r="B139" s="1" t="s">
        <v>547</v>
      </c>
      <c r="C139" s="1" t="s">
        <v>1241</v>
      </c>
      <c r="D139" s="1" t="s">
        <v>805</v>
      </c>
      <c r="E139" s="1" t="s">
        <v>832</v>
      </c>
      <c r="F139" s="1" t="s">
        <v>549</v>
      </c>
      <c r="G139" s="1" t="s">
        <v>548</v>
      </c>
      <c r="H139" s="1" t="s">
        <v>447</v>
      </c>
      <c r="I139" s="1" t="s">
        <v>1226</v>
      </c>
    </row>
    <row r="140" spans="1:9" x14ac:dyDescent="0.3">
      <c r="A140" s="1" t="s">
        <v>1242</v>
      </c>
      <c r="B140" s="1" t="s">
        <v>900</v>
      </c>
      <c r="C140" s="1" t="s">
        <v>1242</v>
      </c>
      <c r="D140" s="1" t="s">
        <v>899</v>
      </c>
      <c r="E140" s="1" t="s">
        <v>899</v>
      </c>
      <c r="F140" s="1" t="s">
        <v>901</v>
      </c>
      <c r="G140" s="1" t="s">
        <v>902</v>
      </c>
      <c r="H140" s="1" t="s">
        <v>447</v>
      </c>
      <c r="I140" s="1" t="s">
        <v>1226</v>
      </c>
    </row>
    <row r="141" spans="1:9" x14ac:dyDescent="0.3">
      <c r="A141" s="1" t="s">
        <v>1243</v>
      </c>
      <c r="B141" s="1" t="s">
        <v>473</v>
      </c>
      <c r="C141" s="1" t="s">
        <v>1243</v>
      </c>
      <c r="D141" s="1" t="s">
        <v>899</v>
      </c>
      <c r="E141" s="1" t="s">
        <v>899</v>
      </c>
      <c r="F141" s="1" t="s">
        <v>475</v>
      </c>
      <c r="G141" s="1" t="s">
        <v>474</v>
      </c>
      <c r="H141" s="1" t="s">
        <v>447</v>
      </c>
      <c r="I141" s="1" t="s">
        <v>1226</v>
      </c>
    </row>
    <row r="142" spans="1:9" x14ac:dyDescent="0.3">
      <c r="A142" s="1" t="s">
        <v>1244</v>
      </c>
      <c r="B142" s="1" t="s">
        <v>903</v>
      </c>
      <c r="C142" s="1" t="s">
        <v>1244</v>
      </c>
      <c r="D142" s="1" t="s">
        <v>899</v>
      </c>
      <c r="E142" s="1" t="s">
        <v>899</v>
      </c>
      <c r="F142" s="1" t="s">
        <v>904</v>
      </c>
      <c r="G142" s="1" t="s">
        <v>905</v>
      </c>
      <c r="H142" s="1" t="s">
        <v>447</v>
      </c>
      <c r="I142" s="1" t="s">
        <v>1226</v>
      </c>
    </row>
    <row r="143" spans="1:9" x14ac:dyDescent="0.3">
      <c r="A143" s="1" t="s">
        <v>1245</v>
      </c>
      <c r="B143" s="1" t="s">
        <v>906</v>
      </c>
      <c r="C143" s="1" t="s">
        <v>1245</v>
      </c>
      <c r="D143" s="1" t="s">
        <v>899</v>
      </c>
      <c r="E143" s="1" t="s">
        <v>899</v>
      </c>
      <c r="F143" s="1" t="s">
        <v>907</v>
      </c>
      <c r="G143" s="1" t="s">
        <v>908</v>
      </c>
      <c r="H143" s="1" t="s">
        <v>447</v>
      </c>
      <c r="I143" s="1" t="s">
        <v>1226</v>
      </c>
    </row>
    <row r="144" spans="1:9" x14ac:dyDescent="0.3">
      <c r="A144" s="1" t="s">
        <v>1246</v>
      </c>
      <c r="B144" s="1" t="s">
        <v>909</v>
      </c>
      <c r="C144" s="1" t="s">
        <v>1246</v>
      </c>
      <c r="D144" s="1" t="s">
        <v>887</v>
      </c>
      <c r="E144" s="1" t="s">
        <v>887</v>
      </c>
      <c r="F144" s="1" t="s">
        <v>910</v>
      </c>
      <c r="G144" s="1" t="s">
        <v>911</v>
      </c>
      <c r="H144" s="1" t="s">
        <v>726</v>
      </c>
      <c r="I144" s="1" t="s">
        <v>1247</v>
      </c>
    </row>
    <row r="145" spans="1:9" x14ac:dyDescent="0.3">
      <c r="A145" s="1" t="s">
        <v>1248</v>
      </c>
      <c r="B145" s="1" t="s">
        <v>912</v>
      </c>
      <c r="C145" s="1" t="s">
        <v>1248</v>
      </c>
      <c r="D145" s="1" t="s">
        <v>814</v>
      </c>
      <c r="E145" s="1" t="s">
        <v>815</v>
      </c>
      <c r="F145" s="1" t="s">
        <v>913</v>
      </c>
      <c r="G145" s="1" t="s">
        <v>914</v>
      </c>
      <c r="H145" s="1" t="s">
        <v>726</v>
      </c>
      <c r="I145" s="1" t="s">
        <v>1247</v>
      </c>
    </row>
    <row r="146" spans="1:9" x14ac:dyDescent="0.3">
      <c r="A146" s="1" t="s">
        <v>1249</v>
      </c>
      <c r="B146" s="1" t="s">
        <v>724</v>
      </c>
      <c r="C146" s="1" t="s">
        <v>1249</v>
      </c>
      <c r="D146" s="1" t="s">
        <v>814</v>
      </c>
      <c r="E146" s="1" t="s">
        <v>915</v>
      </c>
      <c r="F146" s="1" t="s">
        <v>727</v>
      </c>
      <c r="G146" s="1" t="s">
        <v>725</v>
      </c>
      <c r="H146" s="1" t="s">
        <v>726</v>
      </c>
      <c r="I146" s="1" t="s">
        <v>1247</v>
      </c>
    </row>
    <row r="147" spans="1:9" x14ac:dyDescent="0.3">
      <c r="A147" s="1" t="s">
        <v>1250</v>
      </c>
      <c r="B147" s="1" t="s">
        <v>36</v>
      </c>
      <c r="C147" s="1" t="s">
        <v>1250</v>
      </c>
      <c r="D147" s="1" t="s">
        <v>859</v>
      </c>
      <c r="E147" s="1" t="s">
        <v>861</v>
      </c>
      <c r="F147" s="1" t="s">
        <v>39</v>
      </c>
      <c r="G147" s="1" t="s">
        <v>37</v>
      </c>
      <c r="H147" s="1" t="s">
        <v>38</v>
      </c>
      <c r="I147" s="1" t="s">
        <v>1251</v>
      </c>
    </row>
    <row r="148" spans="1:9" x14ac:dyDescent="0.3">
      <c r="A148" s="1" t="s">
        <v>1252</v>
      </c>
      <c r="B148" s="1" t="s">
        <v>206</v>
      </c>
      <c r="C148" s="1" t="s">
        <v>1252</v>
      </c>
      <c r="D148" s="1" t="s">
        <v>859</v>
      </c>
      <c r="E148" s="1" t="s">
        <v>861</v>
      </c>
      <c r="F148" s="1" t="s">
        <v>208</v>
      </c>
      <c r="G148" s="1" t="s">
        <v>207</v>
      </c>
      <c r="H148" s="1" t="s">
        <v>38</v>
      </c>
      <c r="I148" s="1" t="s">
        <v>1251</v>
      </c>
    </row>
    <row r="149" spans="1:9" x14ac:dyDescent="0.3">
      <c r="A149" s="1" t="s">
        <v>1253</v>
      </c>
      <c r="B149" s="1" t="s">
        <v>40</v>
      </c>
      <c r="C149" s="1" t="s">
        <v>1253</v>
      </c>
      <c r="D149" s="1" t="s">
        <v>859</v>
      </c>
      <c r="E149" s="1" t="s">
        <v>866</v>
      </c>
      <c r="F149" s="1" t="s">
        <v>42</v>
      </c>
      <c r="G149" s="1" t="s">
        <v>41</v>
      </c>
      <c r="H149" s="1" t="s">
        <v>38</v>
      </c>
      <c r="I149" s="1" t="s">
        <v>1251</v>
      </c>
    </row>
    <row r="150" spans="1:9" x14ac:dyDescent="0.3">
      <c r="A150" s="1" t="s">
        <v>1254</v>
      </c>
      <c r="B150" s="1" t="s">
        <v>50</v>
      </c>
      <c r="C150" s="1" t="s">
        <v>1254</v>
      </c>
      <c r="D150" s="1" t="s">
        <v>859</v>
      </c>
      <c r="E150" s="1" t="s">
        <v>861</v>
      </c>
      <c r="F150" s="1" t="s">
        <v>52</v>
      </c>
      <c r="G150" s="1" t="s">
        <v>51</v>
      </c>
      <c r="H150" s="1" t="s">
        <v>38</v>
      </c>
      <c r="I150" s="1" t="s">
        <v>1251</v>
      </c>
    </row>
    <row r="151" spans="1:9" x14ac:dyDescent="0.3">
      <c r="A151" s="1" t="s">
        <v>1255</v>
      </c>
      <c r="B151" s="1" t="s">
        <v>56</v>
      </c>
      <c r="C151" s="1" t="s">
        <v>1255</v>
      </c>
      <c r="D151" s="1" t="s">
        <v>859</v>
      </c>
      <c r="E151" s="1" t="s">
        <v>861</v>
      </c>
      <c r="F151" s="1" t="s">
        <v>58</v>
      </c>
      <c r="G151" s="1" t="s">
        <v>57</v>
      </c>
      <c r="H151" s="1" t="s">
        <v>38</v>
      </c>
      <c r="I151" s="1" t="s">
        <v>1251</v>
      </c>
    </row>
    <row r="152" spans="1:9" x14ac:dyDescent="0.3">
      <c r="A152" s="1" t="s">
        <v>1256</v>
      </c>
      <c r="B152" s="1" t="s">
        <v>59</v>
      </c>
      <c r="C152" s="1" t="s">
        <v>1256</v>
      </c>
      <c r="D152" s="1" t="s">
        <v>859</v>
      </c>
      <c r="E152" s="1" t="s">
        <v>861</v>
      </c>
      <c r="F152" s="1" t="s">
        <v>61</v>
      </c>
      <c r="G152" s="1" t="s">
        <v>60</v>
      </c>
      <c r="H152" s="1" t="s">
        <v>38</v>
      </c>
      <c r="I152" s="1" t="s">
        <v>1251</v>
      </c>
    </row>
    <row r="153" spans="1:9" x14ac:dyDescent="0.3">
      <c r="A153" s="1" t="s">
        <v>1257</v>
      </c>
      <c r="B153" s="1" t="s">
        <v>696</v>
      </c>
      <c r="C153" s="1" t="s">
        <v>1257</v>
      </c>
      <c r="D153" s="1" t="s">
        <v>859</v>
      </c>
      <c r="E153" s="1" t="s">
        <v>866</v>
      </c>
      <c r="F153" s="1" t="s">
        <v>698</v>
      </c>
      <c r="G153" s="1" t="s">
        <v>697</v>
      </c>
      <c r="H153" s="1" t="s">
        <v>38</v>
      </c>
      <c r="I153" s="1" t="s">
        <v>1251</v>
      </c>
    </row>
    <row r="154" spans="1:9" x14ac:dyDescent="0.3">
      <c r="A154" s="1" t="s">
        <v>1258</v>
      </c>
      <c r="B154" s="1" t="s">
        <v>62</v>
      </c>
      <c r="C154" s="1" t="s">
        <v>1258</v>
      </c>
      <c r="D154" s="1" t="s">
        <v>859</v>
      </c>
      <c r="E154" s="1" t="s">
        <v>861</v>
      </c>
      <c r="F154" s="1" t="s">
        <v>64</v>
      </c>
      <c r="G154" s="1" t="s">
        <v>63</v>
      </c>
      <c r="H154" s="1" t="s">
        <v>38</v>
      </c>
      <c r="I154" s="1" t="s">
        <v>1251</v>
      </c>
    </row>
    <row r="155" spans="1:9" x14ac:dyDescent="0.3">
      <c r="A155" s="1" t="s">
        <v>1259</v>
      </c>
      <c r="B155" s="1" t="s">
        <v>441</v>
      </c>
      <c r="C155" s="1" t="s">
        <v>1259</v>
      </c>
      <c r="D155" s="1" t="s">
        <v>899</v>
      </c>
      <c r="E155" s="1" t="s">
        <v>899</v>
      </c>
      <c r="F155" s="1" t="s">
        <v>444</v>
      </c>
      <c r="G155" s="1" t="s">
        <v>442</v>
      </c>
      <c r="H155" s="1" t="s">
        <v>443</v>
      </c>
      <c r="I155" s="1" t="s">
        <v>1260</v>
      </c>
    </row>
    <row r="156" spans="1:9" x14ac:dyDescent="0.3">
      <c r="A156" s="1" t="s">
        <v>1261</v>
      </c>
      <c r="B156" s="1" t="s">
        <v>449</v>
      </c>
      <c r="C156" s="1" t="s">
        <v>1261</v>
      </c>
      <c r="D156" s="1" t="s">
        <v>899</v>
      </c>
      <c r="E156" s="1" t="s">
        <v>899</v>
      </c>
      <c r="F156" s="1" t="s">
        <v>451</v>
      </c>
      <c r="G156" s="1" t="s">
        <v>450</v>
      </c>
      <c r="H156" s="1" t="s">
        <v>443</v>
      </c>
      <c r="I156" s="1" t="s">
        <v>1260</v>
      </c>
    </row>
    <row r="157" spans="1:9" x14ac:dyDescent="0.3">
      <c r="A157" s="1" t="s">
        <v>1262</v>
      </c>
      <c r="B157" s="1" t="s">
        <v>470</v>
      </c>
      <c r="C157" s="1" t="s">
        <v>1262</v>
      </c>
      <c r="D157" s="1" t="s">
        <v>899</v>
      </c>
      <c r="E157" s="1" t="s">
        <v>899</v>
      </c>
      <c r="F157" s="1" t="s">
        <v>472</v>
      </c>
      <c r="G157" s="1" t="s">
        <v>471</v>
      </c>
      <c r="H157" s="1" t="s">
        <v>443</v>
      </c>
      <c r="I157" s="1" t="s">
        <v>1260</v>
      </c>
    </row>
    <row r="158" spans="1:9" x14ac:dyDescent="0.3">
      <c r="A158" s="1" t="s">
        <v>1263</v>
      </c>
      <c r="B158" s="1" t="s">
        <v>476</v>
      </c>
      <c r="C158" s="1" t="s">
        <v>1263</v>
      </c>
      <c r="D158" s="1" t="s">
        <v>899</v>
      </c>
      <c r="E158" s="1" t="s">
        <v>899</v>
      </c>
      <c r="F158" s="1" t="s">
        <v>478</v>
      </c>
      <c r="G158" s="1" t="s">
        <v>477</v>
      </c>
      <c r="H158" s="1" t="s">
        <v>443</v>
      </c>
      <c r="I158" s="1" t="s">
        <v>1260</v>
      </c>
    </row>
    <row r="159" spans="1:9" x14ac:dyDescent="0.3">
      <c r="A159" s="1" t="s">
        <v>1264</v>
      </c>
      <c r="B159" s="1" t="s">
        <v>479</v>
      </c>
      <c r="C159" s="1" t="s">
        <v>1264</v>
      </c>
      <c r="D159" s="1" t="s">
        <v>916</v>
      </c>
      <c r="E159" s="1" t="s">
        <v>917</v>
      </c>
      <c r="F159" s="1" t="s">
        <v>482</v>
      </c>
      <c r="G159" s="1" t="s">
        <v>480</v>
      </c>
      <c r="H159" s="1" t="s">
        <v>481</v>
      </c>
      <c r="I159" s="1" t="s">
        <v>1265</v>
      </c>
    </row>
    <row r="160" spans="1:9" x14ac:dyDescent="0.3">
      <c r="A160" s="1" t="s">
        <v>1266</v>
      </c>
      <c r="B160" s="1" t="s">
        <v>483</v>
      </c>
      <c r="C160" s="1" t="s">
        <v>1266</v>
      </c>
      <c r="D160" s="1" t="s">
        <v>916</v>
      </c>
      <c r="E160" s="1" t="s">
        <v>917</v>
      </c>
      <c r="F160" s="1" t="s">
        <v>485</v>
      </c>
      <c r="G160" s="1" t="s">
        <v>484</v>
      </c>
      <c r="H160" s="1" t="s">
        <v>481</v>
      </c>
      <c r="I160" s="1" t="s">
        <v>1265</v>
      </c>
    </row>
    <row r="161" spans="1:9" x14ac:dyDescent="0.3">
      <c r="A161" s="1" t="s">
        <v>1267</v>
      </c>
      <c r="B161" s="1" t="s">
        <v>737</v>
      </c>
      <c r="C161" s="1" t="s">
        <v>1267</v>
      </c>
      <c r="D161" s="1" t="s">
        <v>916</v>
      </c>
      <c r="E161" s="1" t="s">
        <v>917</v>
      </c>
      <c r="F161" s="1" t="s">
        <v>739</v>
      </c>
      <c r="G161" s="1" t="s">
        <v>738</v>
      </c>
      <c r="H161" s="1" t="s">
        <v>481</v>
      </c>
      <c r="I161" s="1" t="s">
        <v>1265</v>
      </c>
    </row>
    <row r="162" spans="1:9" x14ac:dyDescent="0.3">
      <c r="A162" s="1" t="s">
        <v>1085</v>
      </c>
      <c r="B162" s="1" t="s">
        <v>245</v>
      </c>
      <c r="C162" s="1" t="s">
        <v>1085</v>
      </c>
      <c r="D162" s="1" t="s">
        <v>805</v>
      </c>
      <c r="E162" s="1" t="s">
        <v>918</v>
      </c>
      <c r="F162" s="1" t="s">
        <v>247</v>
      </c>
      <c r="G162" s="1" t="s">
        <v>246</v>
      </c>
      <c r="H162" s="1" t="s">
        <v>167</v>
      </c>
      <c r="I162" s="1" t="s">
        <v>1268</v>
      </c>
    </row>
    <row r="163" spans="1:9" x14ac:dyDescent="0.3">
      <c r="A163" s="1" t="s">
        <v>1269</v>
      </c>
      <c r="B163" s="1" t="s">
        <v>489</v>
      </c>
      <c r="C163" s="1" t="s">
        <v>1269</v>
      </c>
      <c r="D163" s="1" t="s">
        <v>805</v>
      </c>
      <c r="E163" s="1" t="s">
        <v>919</v>
      </c>
      <c r="F163" s="1" t="s">
        <v>491</v>
      </c>
      <c r="G163" s="1" t="s">
        <v>490</v>
      </c>
      <c r="H163" s="1" t="s">
        <v>167</v>
      </c>
      <c r="I163" s="1" t="s">
        <v>1268</v>
      </c>
    </row>
    <row r="164" spans="1:9" x14ac:dyDescent="0.3">
      <c r="A164" s="1" t="s">
        <v>1270</v>
      </c>
      <c r="B164" s="1" t="s">
        <v>920</v>
      </c>
      <c r="C164" s="1" t="s">
        <v>1270</v>
      </c>
      <c r="D164" s="1" t="s">
        <v>805</v>
      </c>
      <c r="E164" s="1" t="s">
        <v>808</v>
      </c>
      <c r="F164" s="1" t="s">
        <v>921</v>
      </c>
      <c r="G164" s="1" t="s">
        <v>922</v>
      </c>
      <c r="H164" s="1" t="s">
        <v>167</v>
      </c>
      <c r="I164" s="1" t="s">
        <v>1268</v>
      </c>
    </row>
    <row r="165" spans="1:9" x14ac:dyDescent="0.3">
      <c r="A165" s="1" t="s">
        <v>1271</v>
      </c>
      <c r="B165" s="1" t="s">
        <v>252</v>
      </c>
      <c r="C165" s="1" t="s">
        <v>1271</v>
      </c>
      <c r="D165" s="1" t="s">
        <v>805</v>
      </c>
      <c r="E165" s="1" t="s">
        <v>807</v>
      </c>
      <c r="F165" s="1" t="s">
        <v>254</v>
      </c>
      <c r="G165" s="1" t="s">
        <v>253</v>
      </c>
      <c r="H165" s="1" t="s">
        <v>167</v>
      </c>
      <c r="I165" s="1" t="s">
        <v>1268</v>
      </c>
    </row>
    <row r="166" spans="1:9" x14ac:dyDescent="0.3">
      <c r="A166" s="1" t="s">
        <v>1087</v>
      </c>
      <c r="B166" s="1" t="s">
        <v>169</v>
      </c>
      <c r="C166" s="1" t="s">
        <v>1087</v>
      </c>
      <c r="D166" s="1" t="s">
        <v>805</v>
      </c>
      <c r="E166" s="1" t="s">
        <v>807</v>
      </c>
      <c r="F166" s="1" t="s">
        <v>173</v>
      </c>
      <c r="G166" s="1" t="s">
        <v>171</v>
      </c>
      <c r="H166" s="1" t="s">
        <v>167</v>
      </c>
      <c r="I166" s="1" t="s">
        <v>1268</v>
      </c>
    </row>
    <row r="167" spans="1:9" x14ac:dyDescent="0.3">
      <c r="A167" s="1" t="s">
        <v>1272</v>
      </c>
      <c r="B167" s="1" t="s">
        <v>258</v>
      </c>
      <c r="C167" s="1" t="s">
        <v>1272</v>
      </c>
      <c r="D167" s="1" t="s">
        <v>805</v>
      </c>
      <c r="E167" s="1" t="s">
        <v>809</v>
      </c>
      <c r="F167" s="1" t="s">
        <v>260</v>
      </c>
      <c r="G167" s="1" t="s">
        <v>259</v>
      </c>
      <c r="H167" s="1" t="s">
        <v>167</v>
      </c>
      <c r="I167" s="1" t="s">
        <v>1268</v>
      </c>
    </row>
    <row r="168" spans="1:9" x14ac:dyDescent="0.3">
      <c r="A168" s="1" t="s">
        <v>1088</v>
      </c>
      <c r="B168" s="1" t="s">
        <v>261</v>
      </c>
      <c r="C168" s="1" t="s">
        <v>1088</v>
      </c>
      <c r="D168" s="1" t="s">
        <v>805</v>
      </c>
      <c r="E168" s="1" t="s">
        <v>808</v>
      </c>
      <c r="F168" s="1" t="s">
        <v>263</v>
      </c>
      <c r="G168" s="1" t="s">
        <v>262</v>
      </c>
      <c r="H168" s="1" t="s">
        <v>167</v>
      </c>
      <c r="I168" s="1" t="s">
        <v>1268</v>
      </c>
    </row>
    <row r="169" spans="1:9" x14ac:dyDescent="0.3">
      <c r="A169" s="1" t="s">
        <v>1089</v>
      </c>
      <c r="B169" s="1" t="s">
        <v>264</v>
      </c>
      <c r="C169" s="1" t="s">
        <v>1089</v>
      </c>
      <c r="D169" s="1" t="s">
        <v>805</v>
      </c>
      <c r="E169" s="1" t="s">
        <v>809</v>
      </c>
      <c r="F169" s="1" t="s">
        <v>266</v>
      </c>
      <c r="G169" s="1" t="s">
        <v>265</v>
      </c>
      <c r="H169" s="1" t="s">
        <v>167</v>
      </c>
      <c r="I169" s="1" t="s">
        <v>1268</v>
      </c>
    </row>
    <row r="170" spans="1:9" x14ac:dyDescent="0.3">
      <c r="A170" s="1" t="s">
        <v>1273</v>
      </c>
      <c r="B170" s="1" t="s">
        <v>495</v>
      </c>
      <c r="C170" s="1" t="s">
        <v>1273</v>
      </c>
      <c r="D170" s="1" t="s">
        <v>805</v>
      </c>
      <c r="E170" s="1" t="s">
        <v>919</v>
      </c>
      <c r="F170" s="1" t="s">
        <v>497</v>
      </c>
      <c r="G170" s="1" t="s">
        <v>496</v>
      </c>
      <c r="H170" s="1" t="s">
        <v>167</v>
      </c>
      <c r="I170" s="1" t="s">
        <v>1268</v>
      </c>
    </row>
    <row r="171" spans="1:9" x14ac:dyDescent="0.3">
      <c r="A171" s="1" t="s">
        <v>1274</v>
      </c>
      <c r="B171" s="1" t="s">
        <v>327</v>
      </c>
      <c r="C171" s="1" t="s">
        <v>1274</v>
      </c>
      <c r="D171" s="1" t="s">
        <v>805</v>
      </c>
      <c r="E171" s="1" t="s">
        <v>826</v>
      </c>
      <c r="F171" s="1" t="s">
        <v>329</v>
      </c>
      <c r="G171" s="1" t="s">
        <v>328</v>
      </c>
      <c r="H171" s="1" t="s">
        <v>167</v>
      </c>
      <c r="I171" s="1" t="s">
        <v>1268</v>
      </c>
    </row>
    <row r="172" spans="1:9" x14ac:dyDescent="0.3">
      <c r="A172" s="1" t="s">
        <v>1275</v>
      </c>
      <c r="B172" s="1" t="s">
        <v>346</v>
      </c>
      <c r="C172" s="1" t="s">
        <v>1275</v>
      </c>
      <c r="D172" s="1" t="s">
        <v>805</v>
      </c>
      <c r="E172" s="1" t="s">
        <v>919</v>
      </c>
      <c r="F172" s="1" t="s">
        <v>348</v>
      </c>
      <c r="G172" s="1" t="s">
        <v>347</v>
      </c>
      <c r="H172" s="1" t="s">
        <v>167</v>
      </c>
      <c r="I172" s="1" t="s">
        <v>1268</v>
      </c>
    </row>
    <row r="173" spans="1:9" x14ac:dyDescent="0.3">
      <c r="A173" s="1" t="s">
        <v>1086</v>
      </c>
      <c r="B173" s="1" t="s">
        <v>270</v>
      </c>
      <c r="C173" s="1" t="s">
        <v>1086</v>
      </c>
      <c r="D173" s="1" t="s">
        <v>805</v>
      </c>
      <c r="E173" s="1" t="s">
        <v>918</v>
      </c>
      <c r="F173" s="1" t="s">
        <v>272</v>
      </c>
      <c r="G173" s="1" t="s">
        <v>271</v>
      </c>
      <c r="H173" s="1" t="s">
        <v>167</v>
      </c>
      <c r="I173" s="1" t="s">
        <v>1268</v>
      </c>
    </row>
    <row r="174" spans="1:9" x14ac:dyDescent="0.3">
      <c r="A174" s="1" t="s">
        <v>1276</v>
      </c>
      <c r="B174" s="1" t="s">
        <v>498</v>
      </c>
      <c r="C174" s="1" t="s">
        <v>1276</v>
      </c>
      <c r="D174" s="1" t="s">
        <v>805</v>
      </c>
      <c r="E174" s="1" t="s">
        <v>832</v>
      </c>
      <c r="F174" s="1" t="s">
        <v>500</v>
      </c>
      <c r="G174" s="1" t="s">
        <v>499</v>
      </c>
      <c r="H174" s="1" t="s">
        <v>167</v>
      </c>
      <c r="I174" s="1" t="s">
        <v>1268</v>
      </c>
    </row>
    <row r="175" spans="1:9" x14ac:dyDescent="0.3">
      <c r="A175" s="1" t="s">
        <v>1277</v>
      </c>
      <c r="B175" s="1" t="s">
        <v>282</v>
      </c>
      <c r="C175" s="1" t="s">
        <v>1277</v>
      </c>
      <c r="D175" s="1" t="s">
        <v>805</v>
      </c>
      <c r="E175" s="1" t="s">
        <v>826</v>
      </c>
      <c r="F175" s="1" t="s">
        <v>284</v>
      </c>
      <c r="G175" s="1" t="s">
        <v>283</v>
      </c>
      <c r="H175" s="1" t="s">
        <v>167</v>
      </c>
      <c r="I175" s="1" t="s">
        <v>1268</v>
      </c>
    </row>
    <row r="176" spans="1:9" x14ac:dyDescent="0.3">
      <c r="A176" s="1" t="s">
        <v>1278</v>
      </c>
      <c r="B176" s="1" t="s">
        <v>285</v>
      </c>
      <c r="C176" s="1" t="s">
        <v>1278</v>
      </c>
      <c r="D176" s="1" t="s">
        <v>805</v>
      </c>
      <c r="E176" s="1" t="s">
        <v>826</v>
      </c>
      <c r="F176" s="1" t="s">
        <v>287</v>
      </c>
      <c r="G176" s="1" t="s">
        <v>286</v>
      </c>
      <c r="H176" s="1" t="s">
        <v>167</v>
      </c>
      <c r="I176" s="1" t="s">
        <v>1268</v>
      </c>
    </row>
    <row r="177" spans="1:9" x14ac:dyDescent="0.3">
      <c r="A177" s="1" t="s">
        <v>1279</v>
      </c>
      <c r="B177" s="1" t="s">
        <v>175</v>
      </c>
      <c r="C177" s="1" t="s">
        <v>1279</v>
      </c>
      <c r="D177" s="1" t="s">
        <v>805</v>
      </c>
      <c r="E177" s="1" t="s">
        <v>826</v>
      </c>
      <c r="F177" s="1" t="s">
        <v>177</v>
      </c>
      <c r="G177" s="1" t="s">
        <v>176</v>
      </c>
      <c r="H177" s="1" t="s">
        <v>167</v>
      </c>
      <c r="I177" s="1" t="s">
        <v>1268</v>
      </c>
    </row>
    <row r="178" spans="1:9" x14ac:dyDescent="0.3">
      <c r="A178" s="1" t="s">
        <v>1280</v>
      </c>
      <c r="B178" s="1" t="s">
        <v>288</v>
      </c>
      <c r="C178" s="1" t="s">
        <v>1280</v>
      </c>
      <c r="D178" s="1" t="s">
        <v>805</v>
      </c>
      <c r="E178" s="1" t="s">
        <v>826</v>
      </c>
      <c r="F178" s="1" t="s">
        <v>290</v>
      </c>
      <c r="G178" s="1" t="s">
        <v>289</v>
      </c>
      <c r="H178" s="1" t="s">
        <v>167</v>
      </c>
      <c r="I178" s="1" t="s">
        <v>1268</v>
      </c>
    </row>
    <row r="179" spans="1:9" x14ac:dyDescent="0.3">
      <c r="A179" s="1" t="s">
        <v>1090</v>
      </c>
      <c r="B179" s="1" t="s">
        <v>291</v>
      </c>
      <c r="C179" s="1" t="s">
        <v>1090</v>
      </c>
      <c r="D179" s="1" t="s">
        <v>805</v>
      </c>
      <c r="E179" s="1" t="s">
        <v>807</v>
      </c>
      <c r="F179" s="1" t="s">
        <v>293</v>
      </c>
      <c r="G179" s="1" t="s">
        <v>292</v>
      </c>
      <c r="H179" s="1" t="s">
        <v>167</v>
      </c>
      <c r="I179" s="1" t="s">
        <v>1268</v>
      </c>
    </row>
    <row r="180" spans="1:9" x14ac:dyDescent="0.3">
      <c r="A180" s="1" t="s">
        <v>1281</v>
      </c>
      <c r="B180" s="1" t="s">
        <v>297</v>
      </c>
      <c r="C180" s="1" t="s">
        <v>1281</v>
      </c>
      <c r="D180" s="1" t="s">
        <v>805</v>
      </c>
      <c r="E180" s="1" t="s">
        <v>918</v>
      </c>
      <c r="F180" s="1" t="s">
        <v>299</v>
      </c>
      <c r="G180" s="1" t="s">
        <v>298</v>
      </c>
      <c r="H180" s="1" t="s">
        <v>167</v>
      </c>
      <c r="I180" s="1" t="s">
        <v>1268</v>
      </c>
    </row>
    <row r="181" spans="1:9" x14ac:dyDescent="0.3">
      <c r="A181" s="1" t="s">
        <v>1282</v>
      </c>
      <c r="B181" s="1" t="s">
        <v>165</v>
      </c>
      <c r="C181" s="1" t="s">
        <v>1282</v>
      </c>
      <c r="D181" s="1" t="s">
        <v>805</v>
      </c>
      <c r="E181" s="1" t="s">
        <v>826</v>
      </c>
      <c r="F181" s="1" t="s">
        <v>168</v>
      </c>
      <c r="G181" s="1" t="s">
        <v>166</v>
      </c>
      <c r="H181" s="1" t="s">
        <v>167</v>
      </c>
      <c r="I181" s="1" t="s">
        <v>1268</v>
      </c>
    </row>
    <row r="182" spans="1:9" x14ac:dyDescent="0.3">
      <c r="A182" s="1" t="s">
        <v>1283</v>
      </c>
      <c r="B182" s="1" t="s">
        <v>923</v>
      </c>
      <c r="C182" s="1" t="s">
        <v>1283</v>
      </c>
      <c r="D182" s="1" t="s">
        <v>805</v>
      </c>
      <c r="E182" s="1" t="s">
        <v>918</v>
      </c>
      <c r="F182" s="1" t="s">
        <v>924</v>
      </c>
      <c r="G182" s="1" t="s">
        <v>925</v>
      </c>
      <c r="H182" s="1" t="s">
        <v>167</v>
      </c>
      <c r="I182" s="1" t="s">
        <v>1268</v>
      </c>
    </row>
    <row r="183" spans="1:9" x14ac:dyDescent="0.3">
      <c r="A183" s="1" t="s">
        <v>1284</v>
      </c>
      <c r="B183" s="1" t="s">
        <v>303</v>
      </c>
      <c r="C183" s="1" t="s">
        <v>1284</v>
      </c>
      <c r="D183" s="1" t="s">
        <v>805</v>
      </c>
      <c r="E183" s="1" t="s">
        <v>826</v>
      </c>
      <c r="F183" s="1" t="s">
        <v>305</v>
      </c>
      <c r="G183" s="1" t="s">
        <v>304</v>
      </c>
      <c r="H183" s="1" t="s">
        <v>167</v>
      </c>
      <c r="I183" s="1" t="s">
        <v>1268</v>
      </c>
    </row>
    <row r="184" spans="1:9" x14ac:dyDescent="0.3">
      <c r="A184" s="1" t="s">
        <v>1091</v>
      </c>
      <c r="B184" s="1" t="s">
        <v>8</v>
      </c>
      <c r="C184" s="1" t="s">
        <v>1091</v>
      </c>
      <c r="D184" s="1" t="s">
        <v>805</v>
      </c>
      <c r="E184" s="1" t="s">
        <v>809</v>
      </c>
      <c r="F184" s="1" t="s">
        <v>13</v>
      </c>
      <c r="G184" s="1" t="s">
        <v>10</v>
      </c>
      <c r="H184" s="1" t="s">
        <v>167</v>
      </c>
      <c r="I184" s="1" t="s">
        <v>1268</v>
      </c>
    </row>
    <row r="185" spans="1:9" x14ac:dyDescent="0.3">
      <c r="A185" s="1" t="s">
        <v>1285</v>
      </c>
      <c r="B185" s="1" t="s">
        <v>743</v>
      </c>
      <c r="C185" s="1" t="s">
        <v>1285</v>
      </c>
      <c r="D185" s="1" t="s">
        <v>805</v>
      </c>
      <c r="E185" s="1" t="s">
        <v>926</v>
      </c>
      <c r="F185" s="1" t="s">
        <v>745</v>
      </c>
      <c r="G185" s="1" t="s">
        <v>744</v>
      </c>
      <c r="H185" s="1" t="s">
        <v>167</v>
      </c>
      <c r="I185" s="1" t="s">
        <v>1268</v>
      </c>
    </row>
    <row r="186" spans="1:9" x14ac:dyDescent="0.3">
      <c r="A186" s="1" t="s">
        <v>1286</v>
      </c>
      <c r="B186" s="1" t="s">
        <v>112</v>
      </c>
      <c r="C186" s="1" t="s">
        <v>1286</v>
      </c>
      <c r="D186" s="1" t="s">
        <v>833</v>
      </c>
      <c r="E186" s="1" t="s">
        <v>927</v>
      </c>
      <c r="F186" s="1" t="s">
        <v>115</v>
      </c>
      <c r="G186" s="1" t="s">
        <v>113</v>
      </c>
      <c r="H186" s="1" t="s">
        <v>114</v>
      </c>
      <c r="I186" s="1" t="s">
        <v>1287</v>
      </c>
    </row>
    <row r="187" spans="1:9" x14ac:dyDescent="0.3">
      <c r="A187" s="1" t="s">
        <v>1288</v>
      </c>
      <c r="B187" s="1" t="s">
        <v>147</v>
      </c>
      <c r="C187" s="1" t="s">
        <v>1288</v>
      </c>
      <c r="D187" s="1" t="s">
        <v>928</v>
      </c>
      <c r="E187" s="1" t="s">
        <v>929</v>
      </c>
      <c r="F187" s="1" t="s">
        <v>149</v>
      </c>
      <c r="G187" s="1" t="s">
        <v>148</v>
      </c>
      <c r="H187" s="1" t="s">
        <v>114</v>
      </c>
      <c r="I187" s="1" t="s">
        <v>1287</v>
      </c>
    </row>
    <row r="188" spans="1:9" x14ac:dyDescent="0.3">
      <c r="A188" s="1" t="s">
        <v>1289</v>
      </c>
      <c r="B188" s="1" t="s">
        <v>162</v>
      </c>
      <c r="C188" s="1" t="s">
        <v>1289</v>
      </c>
      <c r="D188" s="1" t="s">
        <v>928</v>
      </c>
      <c r="E188" s="1" t="s">
        <v>929</v>
      </c>
      <c r="F188" s="1" t="s">
        <v>164</v>
      </c>
      <c r="G188" s="1" t="s">
        <v>163</v>
      </c>
      <c r="H188" s="1" t="s">
        <v>114</v>
      </c>
      <c r="I188" s="1" t="s">
        <v>1287</v>
      </c>
    </row>
    <row r="189" spans="1:9" x14ac:dyDescent="0.3">
      <c r="A189" s="1" t="s">
        <v>1290</v>
      </c>
      <c r="B189" s="1" t="s">
        <v>179</v>
      </c>
      <c r="C189" s="1" t="s">
        <v>1290</v>
      </c>
      <c r="D189" s="1" t="s">
        <v>880</v>
      </c>
      <c r="E189" s="1" t="s">
        <v>930</v>
      </c>
      <c r="F189" s="1" t="s">
        <v>183</v>
      </c>
      <c r="G189" s="1" t="s">
        <v>181</v>
      </c>
      <c r="H189" s="1" t="s">
        <v>12</v>
      </c>
      <c r="I189" s="1" t="s">
        <v>1291</v>
      </c>
    </row>
    <row r="190" spans="1:9" x14ac:dyDescent="0.3">
      <c r="A190" s="1" t="s">
        <v>1292</v>
      </c>
      <c r="B190" s="1" t="s">
        <v>567</v>
      </c>
      <c r="C190" s="1" t="s">
        <v>1292</v>
      </c>
      <c r="D190" s="1" t="s">
        <v>880</v>
      </c>
      <c r="E190" s="1" t="s">
        <v>930</v>
      </c>
      <c r="F190" s="1" t="s">
        <v>569</v>
      </c>
      <c r="G190" s="1" t="s">
        <v>568</v>
      </c>
      <c r="H190" s="1" t="s">
        <v>12</v>
      </c>
      <c r="I190" s="1" t="s">
        <v>1291</v>
      </c>
    </row>
    <row r="191" spans="1:9" x14ac:dyDescent="0.3">
      <c r="A191" s="1" t="s">
        <v>1293</v>
      </c>
      <c r="B191" s="1" t="s">
        <v>9</v>
      </c>
      <c r="C191" s="1" t="s">
        <v>1293</v>
      </c>
      <c r="D191" s="1" t="s">
        <v>880</v>
      </c>
      <c r="E191" s="1" t="s">
        <v>930</v>
      </c>
      <c r="F191" s="1" t="s">
        <v>14</v>
      </c>
      <c r="G191" s="1" t="s">
        <v>11</v>
      </c>
      <c r="H191" s="1" t="s">
        <v>12</v>
      </c>
      <c r="I191" s="1" t="s">
        <v>1291</v>
      </c>
    </row>
    <row r="192" spans="1:9" x14ac:dyDescent="0.3">
      <c r="A192" s="1" t="s">
        <v>1294</v>
      </c>
      <c r="B192" s="1" t="s">
        <v>931</v>
      </c>
      <c r="C192" s="1" t="s">
        <v>1294</v>
      </c>
      <c r="D192" s="1" t="s">
        <v>880</v>
      </c>
      <c r="E192" s="1" t="s">
        <v>930</v>
      </c>
      <c r="F192" s="1" t="s">
        <v>932</v>
      </c>
      <c r="G192" s="1" t="s">
        <v>933</v>
      </c>
      <c r="H192" s="1" t="s">
        <v>12</v>
      </c>
      <c r="I192" s="1" t="s">
        <v>1291</v>
      </c>
    </row>
    <row r="193" spans="1:9" x14ac:dyDescent="0.3">
      <c r="A193" s="1" t="s">
        <v>1295</v>
      </c>
      <c r="B193" s="1" t="s">
        <v>184</v>
      </c>
      <c r="C193" s="1" t="s">
        <v>1295</v>
      </c>
      <c r="D193" s="1" t="s">
        <v>880</v>
      </c>
      <c r="E193" s="1" t="s">
        <v>930</v>
      </c>
      <c r="F193" s="1" t="s">
        <v>186</v>
      </c>
      <c r="G193" s="1" t="s">
        <v>185</v>
      </c>
      <c r="H193" s="1" t="s">
        <v>12</v>
      </c>
      <c r="I193" s="1" t="s">
        <v>1291</v>
      </c>
    </row>
    <row r="194" spans="1:9" x14ac:dyDescent="0.3">
      <c r="A194" s="1" t="s">
        <v>1296</v>
      </c>
      <c r="B194" s="1" t="s">
        <v>15</v>
      </c>
      <c r="C194" s="1" t="s">
        <v>1296</v>
      </c>
      <c r="D194" s="1" t="s">
        <v>880</v>
      </c>
      <c r="E194" s="1" t="s">
        <v>930</v>
      </c>
      <c r="F194" s="1" t="s">
        <v>17</v>
      </c>
      <c r="G194" s="1" t="s">
        <v>16</v>
      </c>
      <c r="H194" s="1" t="s">
        <v>12</v>
      </c>
      <c r="I194" s="1" t="s">
        <v>1291</v>
      </c>
    </row>
    <row r="195" spans="1:9" x14ac:dyDescent="0.3">
      <c r="A195" s="1" t="s">
        <v>1297</v>
      </c>
      <c r="B195" s="1" t="s">
        <v>187</v>
      </c>
      <c r="C195" s="1" t="s">
        <v>1297</v>
      </c>
      <c r="D195" s="1" t="s">
        <v>880</v>
      </c>
      <c r="E195" s="1" t="s">
        <v>930</v>
      </c>
      <c r="F195" s="1" t="s">
        <v>189</v>
      </c>
      <c r="G195" s="1" t="s">
        <v>188</v>
      </c>
      <c r="H195" s="1" t="s">
        <v>12</v>
      </c>
      <c r="I195" s="1" t="s">
        <v>1291</v>
      </c>
    </row>
    <row r="196" spans="1:9" x14ac:dyDescent="0.3">
      <c r="A196" s="1" t="s">
        <v>1298</v>
      </c>
      <c r="B196" s="1" t="s">
        <v>190</v>
      </c>
      <c r="C196" s="1" t="s">
        <v>1298</v>
      </c>
      <c r="D196" s="1" t="s">
        <v>880</v>
      </c>
      <c r="E196" s="1" t="s">
        <v>930</v>
      </c>
      <c r="F196" s="1" t="s">
        <v>192</v>
      </c>
      <c r="G196" s="1" t="s">
        <v>191</v>
      </c>
      <c r="H196" s="1" t="s">
        <v>12</v>
      </c>
      <c r="I196" s="1" t="s">
        <v>1291</v>
      </c>
    </row>
    <row r="197" spans="1:9" x14ac:dyDescent="0.3">
      <c r="A197" s="1" t="s">
        <v>1299</v>
      </c>
      <c r="B197" s="1" t="s">
        <v>934</v>
      </c>
      <c r="C197" s="1" t="s">
        <v>1299</v>
      </c>
      <c r="D197" s="1" t="s">
        <v>880</v>
      </c>
      <c r="E197" s="1" t="s">
        <v>930</v>
      </c>
      <c r="F197" s="1" t="s">
        <v>935</v>
      </c>
      <c r="G197" s="1" t="s">
        <v>936</v>
      </c>
      <c r="H197" s="1" t="s">
        <v>12</v>
      </c>
      <c r="I197" s="1" t="s">
        <v>1291</v>
      </c>
    </row>
    <row r="198" spans="1:9" x14ac:dyDescent="0.3">
      <c r="A198" s="1" t="s">
        <v>1300</v>
      </c>
      <c r="B198" s="1" t="s">
        <v>193</v>
      </c>
      <c r="C198" s="1" t="s">
        <v>1300</v>
      </c>
      <c r="D198" s="1" t="s">
        <v>880</v>
      </c>
      <c r="E198" s="1" t="s">
        <v>930</v>
      </c>
      <c r="F198" s="1" t="s">
        <v>195</v>
      </c>
      <c r="G198" s="1" t="s">
        <v>194</v>
      </c>
      <c r="H198" s="1" t="s">
        <v>12</v>
      </c>
      <c r="I198" s="1" t="s">
        <v>1291</v>
      </c>
    </row>
    <row r="199" spans="1:9" x14ac:dyDescent="0.3">
      <c r="A199" s="1" t="s">
        <v>1301</v>
      </c>
      <c r="B199" s="1" t="s">
        <v>731</v>
      </c>
      <c r="C199" s="1" t="s">
        <v>1301</v>
      </c>
      <c r="D199" s="1" t="s">
        <v>814</v>
      </c>
      <c r="E199" s="1" t="s">
        <v>818</v>
      </c>
      <c r="F199" s="1" t="s">
        <v>733</v>
      </c>
      <c r="G199" s="1" t="s">
        <v>732</v>
      </c>
      <c r="H199" s="1" t="s">
        <v>12</v>
      </c>
      <c r="I199" s="1" t="s">
        <v>1291</v>
      </c>
    </row>
    <row r="200" spans="1:9" x14ac:dyDescent="0.3">
      <c r="A200" s="1" t="s">
        <v>1302</v>
      </c>
      <c r="B200" s="1" t="s">
        <v>570</v>
      </c>
      <c r="C200" s="1" t="s">
        <v>1302</v>
      </c>
      <c r="D200" s="1" t="s">
        <v>880</v>
      </c>
      <c r="E200" s="1" t="s">
        <v>930</v>
      </c>
      <c r="F200" s="1" t="s">
        <v>572</v>
      </c>
      <c r="G200" s="1" t="s">
        <v>571</v>
      </c>
      <c r="H200" s="1" t="s">
        <v>12</v>
      </c>
      <c r="I200" s="1" t="s">
        <v>1291</v>
      </c>
    </row>
    <row r="201" spans="1:9" x14ac:dyDescent="0.3">
      <c r="A201" s="1" t="s">
        <v>1303</v>
      </c>
      <c r="B201" s="1" t="s">
        <v>355</v>
      </c>
      <c r="C201" s="1" t="s">
        <v>1303</v>
      </c>
      <c r="D201" s="1" t="s">
        <v>889</v>
      </c>
      <c r="E201" s="1" t="s">
        <v>937</v>
      </c>
      <c r="F201" s="1" t="s">
        <v>358</v>
      </c>
      <c r="G201" s="1" t="s">
        <v>356</v>
      </c>
      <c r="H201" s="1" t="s">
        <v>357</v>
      </c>
      <c r="I201" s="1" t="s">
        <v>1304</v>
      </c>
    </row>
    <row r="202" spans="1:9" x14ac:dyDescent="0.3">
      <c r="A202" s="1" t="s">
        <v>1305</v>
      </c>
      <c r="B202" s="1" t="s">
        <v>366</v>
      </c>
      <c r="C202" s="1" t="s">
        <v>1305</v>
      </c>
      <c r="D202" s="1" t="s">
        <v>889</v>
      </c>
      <c r="E202" s="1" t="s">
        <v>937</v>
      </c>
      <c r="F202" s="1" t="s">
        <v>368</v>
      </c>
      <c r="G202" s="1" t="s">
        <v>367</v>
      </c>
      <c r="H202" s="1" t="s">
        <v>357</v>
      </c>
      <c r="I202" s="1" t="s">
        <v>1304</v>
      </c>
    </row>
    <row r="203" spans="1:9" x14ac:dyDescent="0.3">
      <c r="A203" s="1" t="s">
        <v>1306</v>
      </c>
      <c r="B203" s="1" t="s">
        <v>369</v>
      </c>
      <c r="C203" s="1" t="s">
        <v>1306</v>
      </c>
      <c r="D203" s="1" t="s">
        <v>889</v>
      </c>
      <c r="E203" s="1" t="s">
        <v>937</v>
      </c>
      <c r="F203" s="1" t="s">
        <v>371</v>
      </c>
      <c r="G203" s="1" t="s">
        <v>370</v>
      </c>
      <c r="H203" s="1" t="s">
        <v>357</v>
      </c>
      <c r="I203" s="1" t="s">
        <v>1304</v>
      </c>
    </row>
    <row r="204" spans="1:9" x14ac:dyDescent="0.3">
      <c r="A204" s="1" t="s">
        <v>1307</v>
      </c>
      <c r="B204" s="1" t="s">
        <v>372</v>
      </c>
      <c r="C204" s="1" t="s">
        <v>1307</v>
      </c>
      <c r="D204" s="1" t="s">
        <v>889</v>
      </c>
      <c r="E204" s="1" t="s">
        <v>937</v>
      </c>
      <c r="F204" s="1" t="s">
        <v>374</v>
      </c>
      <c r="G204" s="1" t="s">
        <v>373</v>
      </c>
      <c r="H204" s="1" t="s">
        <v>357</v>
      </c>
      <c r="I204" s="1" t="s">
        <v>1304</v>
      </c>
    </row>
    <row r="205" spans="1:9" x14ac:dyDescent="0.3">
      <c r="A205" s="1" t="s">
        <v>1308</v>
      </c>
      <c r="B205" s="1" t="s">
        <v>532</v>
      </c>
      <c r="C205" s="1" t="s">
        <v>1308</v>
      </c>
      <c r="D205" s="1" t="s">
        <v>889</v>
      </c>
      <c r="E205" s="1" t="s">
        <v>937</v>
      </c>
      <c r="F205" s="1" t="s">
        <v>534</v>
      </c>
      <c r="G205" s="1" t="s">
        <v>533</v>
      </c>
      <c r="H205" s="1" t="s">
        <v>357</v>
      </c>
      <c r="I205" s="1" t="s">
        <v>1304</v>
      </c>
    </row>
    <row r="206" spans="1:9" x14ac:dyDescent="0.3">
      <c r="A206" s="1" t="s">
        <v>1309</v>
      </c>
      <c r="B206" s="1" t="s">
        <v>378</v>
      </c>
      <c r="C206" s="1" t="s">
        <v>1309</v>
      </c>
      <c r="D206" s="1" t="s">
        <v>889</v>
      </c>
      <c r="E206" s="1" t="s">
        <v>937</v>
      </c>
      <c r="F206" s="1" t="s">
        <v>380</v>
      </c>
      <c r="G206" s="1" t="s">
        <v>379</v>
      </c>
      <c r="H206" s="1" t="s">
        <v>357</v>
      </c>
      <c r="I206" s="1" t="s">
        <v>1304</v>
      </c>
    </row>
    <row r="207" spans="1:9" x14ac:dyDescent="0.3">
      <c r="A207" s="1" t="s">
        <v>1310</v>
      </c>
      <c r="B207" s="1" t="s">
        <v>390</v>
      </c>
      <c r="C207" s="1" t="s">
        <v>1310</v>
      </c>
      <c r="D207" s="1" t="s">
        <v>889</v>
      </c>
      <c r="E207" s="1" t="s">
        <v>937</v>
      </c>
      <c r="F207" s="1" t="s">
        <v>392</v>
      </c>
      <c r="G207" s="1" t="s">
        <v>391</v>
      </c>
      <c r="H207" s="1" t="s">
        <v>357</v>
      </c>
      <c r="I207" s="1" t="s">
        <v>1304</v>
      </c>
    </row>
    <row r="208" spans="1:9" x14ac:dyDescent="0.3">
      <c r="A208" s="1" t="s">
        <v>1311</v>
      </c>
      <c r="B208" s="1" t="s">
        <v>399</v>
      </c>
      <c r="C208" s="1" t="s">
        <v>1311</v>
      </c>
      <c r="D208" s="1" t="s">
        <v>889</v>
      </c>
      <c r="E208" s="1" t="s">
        <v>937</v>
      </c>
      <c r="F208" s="1" t="s">
        <v>401</v>
      </c>
      <c r="G208" s="1" t="s">
        <v>400</v>
      </c>
      <c r="H208" s="1" t="s">
        <v>357</v>
      </c>
      <c r="I208" s="1" t="s">
        <v>1304</v>
      </c>
    </row>
    <row r="209" spans="1:9" x14ac:dyDescent="0.3">
      <c r="A209" s="1" t="s">
        <v>1312</v>
      </c>
      <c r="B209" s="1" t="s">
        <v>938</v>
      </c>
      <c r="C209" s="1" t="s">
        <v>1312</v>
      </c>
      <c r="D209" s="1" t="s">
        <v>814</v>
      </c>
      <c r="E209" s="1" t="s">
        <v>819</v>
      </c>
      <c r="F209" s="1" t="s">
        <v>939</v>
      </c>
      <c r="G209" s="1" t="s">
        <v>940</v>
      </c>
      <c r="H209" s="1" t="s">
        <v>217</v>
      </c>
      <c r="I209" s="1" t="s">
        <v>1313</v>
      </c>
    </row>
    <row r="210" spans="1:9" x14ac:dyDescent="0.3">
      <c r="A210" s="1" t="s">
        <v>1314</v>
      </c>
      <c r="B210" s="1" t="s">
        <v>941</v>
      </c>
      <c r="C210" s="1" t="s">
        <v>1314</v>
      </c>
      <c r="D210" s="1" t="s">
        <v>814</v>
      </c>
      <c r="E210" s="1" t="s">
        <v>819</v>
      </c>
      <c r="F210" s="1" t="s">
        <v>942</v>
      </c>
      <c r="G210" s="1" t="s">
        <v>943</v>
      </c>
      <c r="H210" s="1" t="s">
        <v>217</v>
      </c>
      <c r="I210" s="1" t="s">
        <v>1313</v>
      </c>
    </row>
    <row r="211" spans="1:9" x14ac:dyDescent="0.3">
      <c r="A211" s="1" t="s">
        <v>1315</v>
      </c>
      <c r="B211" s="1" t="s">
        <v>604</v>
      </c>
      <c r="C211" s="1" t="s">
        <v>1315</v>
      </c>
      <c r="D211" s="1" t="s">
        <v>814</v>
      </c>
      <c r="E211" s="1" t="s">
        <v>819</v>
      </c>
      <c r="F211" s="1" t="s">
        <v>606</v>
      </c>
      <c r="G211" s="1" t="s">
        <v>605</v>
      </c>
      <c r="H211" s="1" t="s">
        <v>217</v>
      </c>
      <c r="I211" s="1" t="s">
        <v>1313</v>
      </c>
    </row>
    <row r="212" spans="1:9" x14ac:dyDescent="0.3">
      <c r="A212" s="1" t="s">
        <v>1316</v>
      </c>
      <c r="B212" s="1" t="s">
        <v>215</v>
      </c>
      <c r="C212" s="1" t="s">
        <v>1316</v>
      </c>
      <c r="D212" s="1" t="s">
        <v>814</v>
      </c>
      <c r="E212" s="1" t="s">
        <v>819</v>
      </c>
      <c r="F212" s="1" t="s">
        <v>218</v>
      </c>
      <c r="G212" s="1" t="s">
        <v>216</v>
      </c>
      <c r="H212" s="1" t="s">
        <v>217</v>
      </c>
      <c r="I212" s="1" t="s">
        <v>1313</v>
      </c>
    </row>
    <row r="213" spans="1:9" x14ac:dyDescent="0.3">
      <c r="A213" s="1" t="s">
        <v>1317</v>
      </c>
      <c r="B213" s="1" t="s">
        <v>944</v>
      </c>
      <c r="C213" s="1" t="s">
        <v>1317</v>
      </c>
      <c r="D213" s="1" t="s">
        <v>814</v>
      </c>
      <c r="E213" s="1" t="s">
        <v>818</v>
      </c>
      <c r="F213" s="1" t="s">
        <v>945</v>
      </c>
      <c r="G213" s="1" t="s">
        <v>946</v>
      </c>
      <c r="H213" s="1" t="s">
        <v>217</v>
      </c>
      <c r="I213" s="1" t="s">
        <v>1313</v>
      </c>
    </row>
    <row r="214" spans="1:9" x14ac:dyDescent="0.3">
      <c r="A214" s="1" t="s">
        <v>1318</v>
      </c>
      <c r="B214" s="1" t="s">
        <v>947</v>
      </c>
      <c r="C214" s="1" t="s">
        <v>1318</v>
      </c>
      <c r="D214" s="1" t="s">
        <v>814</v>
      </c>
      <c r="E214" s="1" t="s">
        <v>819</v>
      </c>
      <c r="F214" s="1" t="s">
        <v>948</v>
      </c>
      <c r="G214" s="1" t="s">
        <v>949</v>
      </c>
      <c r="H214" s="1" t="s">
        <v>217</v>
      </c>
      <c r="I214" s="1" t="s">
        <v>1313</v>
      </c>
    </row>
    <row r="215" spans="1:9" x14ac:dyDescent="0.3">
      <c r="A215" s="1" t="s">
        <v>1319</v>
      </c>
      <c r="B215" s="1" t="s">
        <v>714</v>
      </c>
      <c r="C215" s="1" t="s">
        <v>1319</v>
      </c>
      <c r="D215" s="1" t="s">
        <v>814</v>
      </c>
      <c r="E215" s="1" t="s">
        <v>819</v>
      </c>
      <c r="F215" s="1" t="s">
        <v>717</v>
      </c>
      <c r="G215" s="1" t="s">
        <v>715</v>
      </c>
      <c r="H215" s="1" t="s">
        <v>716</v>
      </c>
      <c r="I215" s="1" t="s">
        <v>1320</v>
      </c>
    </row>
    <row r="216" spans="1:9" x14ac:dyDescent="0.3">
      <c r="A216" s="1" t="s">
        <v>1321</v>
      </c>
      <c r="B216" s="1" t="s">
        <v>950</v>
      </c>
      <c r="C216" s="1" t="s">
        <v>1321</v>
      </c>
      <c r="D216" s="1" t="s">
        <v>801</v>
      </c>
      <c r="E216" s="1" t="s">
        <v>951</v>
      </c>
      <c r="F216" s="1" t="s">
        <v>952</v>
      </c>
      <c r="G216" s="1" t="s">
        <v>953</v>
      </c>
      <c r="H216" s="1" t="s">
        <v>716</v>
      </c>
      <c r="I216" s="1" t="s">
        <v>1320</v>
      </c>
    </row>
    <row r="217" spans="1:9" x14ac:dyDescent="0.3">
      <c r="A217" s="1" t="s">
        <v>1322</v>
      </c>
      <c r="B217" s="1" t="s">
        <v>954</v>
      </c>
      <c r="C217" s="1" t="s">
        <v>1322</v>
      </c>
      <c r="D217" s="1" t="s">
        <v>955</v>
      </c>
      <c r="E217" s="1" t="s">
        <v>956</v>
      </c>
      <c r="F217" s="1" t="s">
        <v>957</v>
      </c>
      <c r="G217" s="1" t="s">
        <v>958</v>
      </c>
      <c r="H217" s="1" t="s">
        <v>24</v>
      </c>
      <c r="I217" s="1" t="s">
        <v>1323</v>
      </c>
    </row>
    <row r="218" spans="1:9" x14ac:dyDescent="0.3">
      <c r="A218" s="1" t="s">
        <v>1324</v>
      </c>
      <c r="B218" s="1" t="s">
        <v>746</v>
      </c>
      <c r="C218" s="1" t="s">
        <v>1324</v>
      </c>
      <c r="D218" s="1" t="s">
        <v>955</v>
      </c>
      <c r="E218" s="1" t="s">
        <v>956</v>
      </c>
      <c r="F218" s="1" t="s">
        <v>748</v>
      </c>
      <c r="G218" s="1" t="s">
        <v>747</v>
      </c>
      <c r="H218" s="1" t="s">
        <v>24</v>
      </c>
      <c r="I218" s="1" t="s">
        <v>1323</v>
      </c>
    </row>
    <row r="219" spans="1:9" x14ac:dyDescent="0.3">
      <c r="A219" s="1" t="s">
        <v>1325</v>
      </c>
      <c r="B219" s="1" t="s">
        <v>306</v>
      </c>
      <c r="C219" s="1" t="s">
        <v>1325</v>
      </c>
      <c r="D219" s="1" t="s">
        <v>955</v>
      </c>
      <c r="E219" s="1" t="s">
        <v>959</v>
      </c>
      <c r="F219" s="1" t="s">
        <v>308</v>
      </c>
      <c r="G219" s="1" t="s">
        <v>307</v>
      </c>
      <c r="H219" s="1" t="s">
        <v>24</v>
      </c>
      <c r="I219" s="1" t="s">
        <v>1323</v>
      </c>
    </row>
    <row r="220" spans="1:9" x14ac:dyDescent="0.3">
      <c r="A220" s="1" t="s">
        <v>1326</v>
      </c>
      <c r="B220" s="1" t="s">
        <v>504</v>
      </c>
      <c r="C220" s="1" t="s">
        <v>1326</v>
      </c>
      <c r="D220" s="1" t="s">
        <v>955</v>
      </c>
      <c r="E220" s="1" t="s">
        <v>959</v>
      </c>
      <c r="F220" s="1" t="s">
        <v>506</v>
      </c>
      <c r="G220" s="1" t="s">
        <v>505</v>
      </c>
      <c r="H220" s="1" t="s">
        <v>24</v>
      </c>
      <c r="I220" s="1" t="s">
        <v>1323</v>
      </c>
    </row>
    <row r="221" spans="1:9" x14ac:dyDescent="0.3">
      <c r="A221" s="1" t="s">
        <v>1327</v>
      </c>
      <c r="B221" s="1" t="s">
        <v>22</v>
      </c>
      <c r="C221" s="1" t="s">
        <v>1327</v>
      </c>
      <c r="D221" s="1" t="s">
        <v>894</v>
      </c>
      <c r="E221" s="1" t="s">
        <v>960</v>
      </c>
      <c r="F221" s="1" t="s">
        <v>25</v>
      </c>
      <c r="G221" s="1" t="s">
        <v>23</v>
      </c>
      <c r="H221" s="1" t="s">
        <v>24</v>
      </c>
      <c r="I221" s="1" t="s">
        <v>1323</v>
      </c>
    </row>
    <row r="222" spans="1:9" x14ac:dyDescent="0.3">
      <c r="A222" s="1" t="s">
        <v>1328</v>
      </c>
      <c r="B222" s="1" t="s">
        <v>309</v>
      </c>
      <c r="C222" s="1" t="s">
        <v>1328</v>
      </c>
      <c r="D222" s="1" t="s">
        <v>955</v>
      </c>
      <c r="E222" s="1" t="s">
        <v>959</v>
      </c>
      <c r="F222" s="1" t="s">
        <v>311</v>
      </c>
      <c r="G222" s="1" t="s">
        <v>310</v>
      </c>
      <c r="H222" s="1" t="s">
        <v>24</v>
      </c>
      <c r="I222" s="1" t="s">
        <v>1323</v>
      </c>
    </row>
    <row r="223" spans="1:9" x14ac:dyDescent="0.3">
      <c r="A223" s="1" t="s">
        <v>1329</v>
      </c>
      <c r="B223" s="1" t="s">
        <v>507</v>
      </c>
      <c r="C223" s="1" t="s">
        <v>1329</v>
      </c>
      <c r="D223" s="1" t="s">
        <v>955</v>
      </c>
      <c r="E223" s="1" t="s">
        <v>956</v>
      </c>
      <c r="F223" s="1" t="s">
        <v>509</v>
      </c>
      <c r="G223" s="1" t="s">
        <v>508</v>
      </c>
      <c r="H223" s="1" t="s">
        <v>24</v>
      </c>
      <c r="I223" s="1" t="s">
        <v>1323</v>
      </c>
    </row>
    <row r="224" spans="1:9" x14ac:dyDescent="0.3">
      <c r="A224" s="1" t="s">
        <v>1330</v>
      </c>
      <c r="B224" s="1" t="s">
        <v>312</v>
      </c>
      <c r="C224" s="1" t="s">
        <v>1330</v>
      </c>
      <c r="D224" s="1" t="s">
        <v>955</v>
      </c>
      <c r="E224" s="1" t="s">
        <v>959</v>
      </c>
      <c r="F224" s="1" t="s">
        <v>314</v>
      </c>
      <c r="G224" s="1" t="s">
        <v>313</v>
      </c>
      <c r="H224" s="1" t="s">
        <v>24</v>
      </c>
      <c r="I224" s="1" t="s">
        <v>1323</v>
      </c>
    </row>
    <row r="225" spans="1:9" x14ac:dyDescent="0.3">
      <c r="A225" s="1" t="s">
        <v>1331</v>
      </c>
      <c r="B225" s="1" t="s">
        <v>510</v>
      </c>
      <c r="C225" s="1" t="s">
        <v>1331</v>
      </c>
      <c r="D225" s="1" t="s">
        <v>955</v>
      </c>
      <c r="E225" s="1" t="s">
        <v>956</v>
      </c>
      <c r="F225" s="1" t="s">
        <v>512</v>
      </c>
      <c r="G225" s="1" t="s">
        <v>511</v>
      </c>
      <c r="H225" s="1" t="s">
        <v>24</v>
      </c>
      <c r="I225" s="1" t="s">
        <v>1323</v>
      </c>
    </row>
    <row r="226" spans="1:9" x14ac:dyDescent="0.3">
      <c r="A226" s="1" t="s">
        <v>1332</v>
      </c>
      <c r="B226" s="1" t="s">
        <v>513</v>
      </c>
      <c r="C226" s="1" t="s">
        <v>1332</v>
      </c>
      <c r="D226" s="1" t="s">
        <v>955</v>
      </c>
      <c r="E226" s="1" t="s">
        <v>956</v>
      </c>
      <c r="F226" s="1" t="s">
        <v>515</v>
      </c>
      <c r="G226" s="1" t="s">
        <v>514</v>
      </c>
      <c r="H226" s="1" t="s">
        <v>24</v>
      </c>
      <c r="I226" s="1" t="s">
        <v>1323</v>
      </c>
    </row>
    <row r="227" spans="1:9" x14ac:dyDescent="0.3">
      <c r="A227" s="1" t="s">
        <v>1333</v>
      </c>
      <c r="B227" s="1" t="s">
        <v>749</v>
      </c>
      <c r="C227" s="1" t="s">
        <v>1333</v>
      </c>
      <c r="D227" s="1" t="s">
        <v>955</v>
      </c>
      <c r="E227" s="1" t="s">
        <v>959</v>
      </c>
      <c r="F227" s="1" t="s">
        <v>751</v>
      </c>
      <c r="G227" s="1" t="s">
        <v>750</v>
      </c>
      <c r="H227" s="1" t="s">
        <v>24</v>
      </c>
      <c r="I227" s="1" t="s">
        <v>1323</v>
      </c>
    </row>
    <row r="228" spans="1:9" x14ac:dyDescent="0.3">
      <c r="A228" s="1" t="s">
        <v>1334</v>
      </c>
      <c r="B228" s="1" t="s">
        <v>516</v>
      </c>
      <c r="C228" s="1" t="s">
        <v>1334</v>
      </c>
      <c r="D228" s="1" t="s">
        <v>955</v>
      </c>
      <c r="E228" s="1" t="s">
        <v>956</v>
      </c>
      <c r="F228" s="1" t="s">
        <v>518</v>
      </c>
      <c r="G228" s="1" t="s">
        <v>517</v>
      </c>
      <c r="H228" s="1" t="s">
        <v>24</v>
      </c>
      <c r="I228" s="1" t="s">
        <v>1323</v>
      </c>
    </row>
    <row r="229" spans="1:9" x14ac:dyDescent="0.3">
      <c r="A229" s="1" t="s">
        <v>1335</v>
      </c>
      <c r="B229" s="1" t="s">
        <v>519</v>
      </c>
      <c r="C229" s="1" t="s">
        <v>1335</v>
      </c>
      <c r="D229" s="1" t="s">
        <v>955</v>
      </c>
      <c r="E229" s="1" t="s">
        <v>956</v>
      </c>
      <c r="F229" s="1" t="s">
        <v>521</v>
      </c>
      <c r="G229" s="1" t="s">
        <v>520</v>
      </c>
      <c r="H229" s="1" t="s">
        <v>24</v>
      </c>
      <c r="I229" s="1" t="s">
        <v>1323</v>
      </c>
    </row>
    <row r="230" spans="1:9" x14ac:dyDescent="0.3">
      <c r="A230" s="1" t="s">
        <v>1336</v>
      </c>
      <c r="B230" s="1" t="s">
        <v>522</v>
      </c>
      <c r="C230" s="1" t="s">
        <v>1336</v>
      </c>
      <c r="D230" s="1" t="s">
        <v>955</v>
      </c>
      <c r="E230" s="1" t="s">
        <v>956</v>
      </c>
      <c r="F230" s="1" t="s">
        <v>524</v>
      </c>
      <c r="G230" s="1" t="s">
        <v>523</v>
      </c>
      <c r="H230" s="1" t="s">
        <v>24</v>
      </c>
      <c r="I230" s="1" t="s">
        <v>1323</v>
      </c>
    </row>
    <row r="231" spans="1:9" x14ac:dyDescent="0.3">
      <c r="A231" s="1" t="s">
        <v>1337</v>
      </c>
      <c r="B231" s="1" t="s">
        <v>525</v>
      </c>
      <c r="C231" s="1" t="s">
        <v>1337</v>
      </c>
      <c r="D231" s="1" t="s">
        <v>955</v>
      </c>
      <c r="E231" s="1" t="s">
        <v>956</v>
      </c>
      <c r="F231" s="1" t="s">
        <v>527</v>
      </c>
      <c r="G231" s="1" t="s">
        <v>526</v>
      </c>
      <c r="H231" s="1" t="s">
        <v>24</v>
      </c>
      <c r="I231" s="1" t="s">
        <v>1323</v>
      </c>
    </row>
    <row r="232" spans="1:9" x14ac:dyDescent="0.3">
      <c r="A232" s="1" t="s">
        <v>1074</v>
      </c>
      <c r="B232" s="1" t="s">
        <v>231</v>
      </c>
      <c r="C232" s="1" t="s">
        <v>1074</v>
      </c>
      <c r="D232" s="1" t="s">
        <v>801</v>
      </c>
      <c r="E232" s="1" t="s">
        <v>804</v>
      </c>
      <c r="F232" s="1" t="s">
        <v>234</v>
      </c>
      <c r="G232" s="1" t="s">
        <v>232</v>
      </c>
      <c r="H232" s="1" t="s">
        <v>233</v>
      </c>
      <c r="I232" s="1" t="s">
        <v>1338</v>
      </c>
    </row>
    <row r="233" spans="1:9" x14ac:dyDescent="0.3">
      <c r="A233" s="1" t="s">
        <v>1339</v>
      </c>
      <c r="B233" s="1" t="s">
        <v>122</v>
      </c>
      <c r="C233" s="1" t="s">
        <v>1339</v>
      </c>
      <c r="D233" s="1" t="s">
        <v>928</v>
      </c>
      <c r="E233" s="1" t="s">
        <v>961</v>
      </c>
      <c r="F233" s="1" t="s">
        <v>125</v>
      </c>
      <c r="G233" s="1" t="s">
        <v>123</v>
      </c>
      <c r="H233" s="1" t="s">
        <v>124</v>
      </c>
      <c r="I233" s="1" t="s">
        <v>1340</v>
      </c>
    </row>
    <row r="234" spans="1:9" x14ac:dyDescent="0.3">
      <c r="A234" s="1" t="s">
        <v>1341</v>
      </c>
      <c r="B234" s="1" t="s">
        <v>126</v>
      </c>
      <c r="C234" s="1" t="s">
        <v>1341</v>
      </c>
      <c r="D234" s="1" t="s">
        <v>928</v>
      </c>
      <c r="E234" s="1" t="s">
        <v>961</v>
      </c>
      <c r="F234" s="1" t="s">
        <v>128</v>
      </c>
      <c r="G234" s="1" t="s">
        <v>127</v>
      </c>
      <c r="H234" s="1" t="s">
        <v>124</v>
      </c>
      <c r="I234" s="1" t="s">
        <v>1340</v>
      </c>
    </row>
    <row r="235" spans="1:9" x14ac:dyDescent="0.3">
      <c r="A235" s="1" t="s">
        <v>1342</v>
      </c>
      <c r="B235" s="1" t="s">
        <v>144</v>
      </c>
      <c r="C235" s="1" t="s">
        <v>1342</v>
      </c>
      <c r="D235" s="1" t="s">
        <v>928</v>
      </c>
      <c r="E235" s="1" t="s">
        <v>961</v>
      </c>
      <c r="F235" s="1" t="s">
        <v>146</v>
      </c>
      <c r="G235" s="1" t="s">
        <v>145</v>
      </c>
      <c r="H235" s="1" t="s">
        <v>124</v>
      </c>
      <c r="I235" s="1" t="s">
        <v>1340</v>
      </c>
    </row>
    <row r="236" spans="1:9" x14ac:dyDescent="0.3">
      <c r="A236" s="1" t="s">
        <v>1343</v>
      </c>
      <c r="B236" s="1" t="s">
        <v>734</v>
      </c>
      <c r="C236" s="1" t="s">
        <v>1343</v>
      </c>
      <c r="D236" s="1" t="s">
        <v>928</v>
      </c>
      <c r="E236" s="1" t="s">
        <v>961</v>
      </c>
      <c r="F236" s="1" t="s">
        <v>736</v>
      </c>
      <c r="G236" s="1" t="s">
        <v>735</v>
      </c>
      <c r="H236" s="1" t="s">
        <v>124</v>
      </c>
      <c r="I236" s="1" t="s">
        <v>1340</v>
      </c>
    </row>
    <row r="237" spans="1:9" x14ac:dyDescent="0.3">
      <c r="A237" s="1" t="s">
        <v>1344</v>
      </c>
      <c r="B237" s="1" t="s">
        <v>153</v>
      </c>
      <c r="C237" s="1" t="s">
        <v>1344</v>
      </c>
      <c r="D237" s="1" t="s">
        <v>928</v>
      </c>
      <c r="E237" s="1" t="s">
        <v>929</v>
      </c>
      <c r="F237" s="1" t="s">
        <v>155</v>
      </c>
      <c r="G237" s="1" t="s">
        <v>154</v>
      </c>
      <c r="H237" s="1" t="s">
        <v>124</v>
      </c>
      <c r="I237" s="1" t="s">
        <v>1340</v>
      </c>
    </row>
    <row r="238" spans="1:9" x14ac:dyDescent="0.3">
      <c r="A238" s="1" t="s">
        <v>1345</v>
      </c>
      <c r="B238" s="1" t="s">
        <v>156</v>
      </c>
      <c r="C238" s="1" t="s">
        <v>1345</v>
      </c>
      <c r="D238" s="1" t="s">
        <v>928</v>
      </c>
      <c r="E238" s="1" t="s">
        <v>929</v>
      </c>
      <c r="F238" s="1" t="s">
        <v>158</v>
      </c>
      <c r="G238" s="1" t="s">
        <v>157</v>
      </c>
      <c r="H238" s="1" t="s">
        <v>124</v>
      </c>
      <c r="I238" s="1" t="s">
        <v>1340</v>
      </c>
    </row>
    <row r="239" spans="1:9" x14ac:dyDescent="0.3">
      <c r="A239" s="1" t="s">
        <v>1346</v>
      </c>
      <c r="B239" s="1" t="s">
        <v>339</v>
      </c>
      <c r="C239" s="1" t="s">
        <v>1346</v>
      </c>
      <c r="D239" s="1" t="s">
        <v>899</v>
      </c>
      <c r="E239" s="1" t="s">
        <v>899</v>
      </c>
      <c r="F239" s="1" t="s">
        <v>342</v>
      </c>
      <c r="G239" s="1" t="s">
        <v>340</v>
      </c>
      <c r="H239" s="1" t="s">
        <v>341</v>
      </c>
      <c r="I239" s="1" t="s">
        <v>1347</v>
      </c>
    </row>
    <row r="240" spans="1:9" x14ac:dyDescent="0.3">
      <c r="A240" s="1" t="s">
        <v>1348</v>
      </c>
      <c r="B240" s="1" t="s">
        <v>414</v>
      </c>
      <c r="C240" s="1" t="s">
        <v>1348</v>
      </c>
      <c r="D240" s="1" t="s">
        <v>962</v>
      </c>
      <c r="E240" s="1" t="s">
        <v>963</v>
      </c>
      <c r="F240" s="1" t="s">
        <v>416</v>
      </c>
      <c r="G240" s="1" t="s">
        <v>415</v>
      </c>
      <c r="H240" s="1" t="s">
        <v>31</v>
      </c>
      <c r="I240" s="1" t="s">
        <v>1349</v>
      </c>
    </row>
    <row r="241" spans="1:9" x14ac:dyDescent="0.3">
      <c r="A241" s="1" t="s">
        <v>1350</v>
      </c>
      <c r="B241" s="1" t="s">
        <v>964</v>
      </c>
      <c r="C241" s="1" t="s">
        <v>1350</v>
      </c>
      <c r="D241" s="1" t="s">
        <v>962</v>
      </c>
      <c r="E241" s="1" t="s">
        <v>965</v>
      </c>
      <c r="F241" s="1" t="s">
        <v>966</v>
      </c>
      <c r="G241" s="1" t="s">
        <v>967</v>
      </c>
      <c r="H241" s="1" t="s">
        <v>31</v>
      </c>
      <c r="I241" s="1" t="s">
        <v>1349</v>
      </c>
    </row>
    <row r="242" spans="1:9" x14ac:dyDescent="0.3">
      <c r="A242" s="1" t="s">
        <v>1351</v>
      </c>
      <c r="B242" s="1" t="s">
        <v>968</v>
      </c>
      <c r="C242" s="1" t="s">
        <v>1351</v>
      </c>
      <c r="D242" s="1" t="s">
        <v>962</v>
      </c>
      <c r="E242" s="1" t="s">
        <v>965</v>
      </c>
      <c r="F242" s="1" t="s">
        <v>969</v>
      </c>
      <c r="G242" s="1" t="s">
        <v>970</v>
      </c>
      <c r="H242" s="1" t="s">
        <v>31</v>
      </c>
      <c r="I242" s="1" t="s">
        <v>1349</v>
      </c>
    </row>
    <row r="243" spans="1:9" x14ac:dyDescent="0.3">
      <c r="A243" s="1" t="s">
        <v>1352</v>
      </c>
      <c r="B243" s="1" t="s">
        <v>29</v>
      </c>
      <c r="C243" s="1" t="s">
        <v>1352</v>
      </c>
      <c r="D243" s="1" t="s">
        <v>962</v>
      </c>
      <c r="E243" s="1" t="s">
        <v>965</v>
      </c>
      <c r="F243" s="1" t="s">
        <v>32</v>
      </c>
      <c r="G243" s="1" t="s">
        <v>30</v>
      </c>
      <c r="H243" s="1" t="s">
        <v>31</v>
      </c>
      <c r="I243" s="1" t="s">
        <v>1349</v>
      </c>
    </row>
    <row r="244" spans="1:9" x14ac:dyDescent="0.3">
      <c r="A244" s="1" t="s">
        <v>1353</v>
      </c>
      <c r="B244" s="1" t="s">
        <v>417</v>
      </c>
      <c r="C244" s="1" t="s">
        <v>1353</v>
      </c>
      <c r="D244" s="1" t="s">
        <v>962</v>
      </c>
      <c r="E244" s="1" t="s">
        <v>965</v>
      </c>
      <c r="F244" s="1" t="s">
        <v>419</v>
      </c>
      <c r="G244" s="1" t="s">
        <v>418</v>
      </c>
      <c r="H244" s="1" t="s">
        <v>31</v>
      </c>
      <c r="I244" s="1" t="s">
        <v>1349</v>
      </c>
    </row>
    <row r="245" spans="1:9" x14ac:dyDescent="0.3">
      <c r="A245" s="1" t="s">
        <v>1354</v>
      </c>
      <c r="B245" s="1" t="s">
        <v>420</v>
      </c>
      <c r="C245" s="1" t="s">
        <v>1354</v>
      </c>
      <c r="D245" s="1" t="s">
        <v>962</v>
      </c>
      <c r="E245" s="1" t="s">
        <v>963</v>
      </c>
      <c r="F245" s="1" t="s">
        <v>422</v>
      </c>
      <c r="G245" s="1" t="s">
        <v>421</v>
      </c>
      <c r="H245" s="1" t="s">
        <v>31</v>
      </c>
      <c r="I245" s="1" t="s">
        <v>1349</v>
      </c>
    </row>
    <row r="246" spans="1:9" x14ac:dyDescent="0.3">
      <c r="A246" s="1" t="s">
        <v>1355</v>
      </c>
      <c r="B246" s="1" t="s">
        <v>423</v>
      </c>
      <c r="C246" s="1" t="s">
        <v>1355</v>
      </c>
      <c r="D246" s="1" t="s">
        <v>962</v>
      </c>
      <c r="E246" s="1" t="s">
        <v>965</v>
      </c>
      <c r="F246" s="1" t="s">
        <v>425</v>
      </c>
      <c r="G246" s="1" t="s">
        <v>424</v>
      </c>
      <c r="H246" s="1" t="s">
        <v>31</v>
      </c>
      <c r="I246" s="1" t="s">
        <v>1349</v>
      </c>
    </row>
    <row r="247" spans="1:9" x14ac:dyDescent="0.3">
      <c r="A247" s="1" t="s">
        <v>1356</v>
      </c>
      <c r="B247" s="1" t="s">
        <v>426</v>
      </c>
      <c r="C247" s="1" t="s">
        <v>1356</v>
      </c>
      <c r="D247" s="1" t="s">
        <v>962</v>
      </c>
      <c r="E247" s="1" t="s">
        <v>965</v>
      </c>
      <c r="F247" s="1" t="s">
        <v>428</v>
      </c>
      <c r="G247" s="1" t="s">
        <v>427</v>
      </c>
      <c r="H247" s="1" t="s">
        <v>31</v>
      </c>
      <c r="I247" s="1" t="s">
        <v>1349</v>
      </c>
    </row>
    <row r="248" spans="1:9" x14ac:dyDescent="0.3">
      <c r="A248" s="1" t="s">
        <v>1357</v>
      </c>
      <c r="B248" s="1" t="s">
        <v>675</v>
      </c>
      <c r="C248" s="1" t="s">
        <v>1357</v>
      </c>
      <c r="D248" s="1" t="s">
        <v>962</v>
      </c>
      <c r="E248" s="1" t="s">
        <v>965</v>
      </c>
      <c r="F248" s="1" t="s">
        <v>677</v>
      </c>
      <c r="G248" s="1" t="s">
        <v>676</v>
      </c>
      <c r="H248" s="1" t="s">
        <v>31</v>
      </c>
      <c r="I248" s="1" t="s">
        <v>1349</v>
      </c>
    </row>
    <row r="249" spans="1:9" x14ac:dyDescent="0.3">
      <c r="A249" s="1" t="s">
        <v>1358</v>
      </c>
      <c r="B249" s="1" t="s">
        <v>432</v>
      </c>
      <c r="C249" s="1" t="s">
        <v>1358</v>
      </c>
      <c r="D249" s="1" t="s">
        <v>962</v>
      </c>
      <c r="E249" s="1" t="s">
        <v>965</v>
      </c>
      <c r="F249" s="1" t="s">
        <v>434</v>
      </c>
      <c r="G249" s="1" t="s">
        <v>433</v>
      </c>
      <c r="H249" s="1" t="s">
        <v>31</v>
      </c>
      <c r="I249" s="1" t="s">
        <v>1349</v>
      </c>
    </row>
    <row r="250" spans="1:9" x14ac:dyDescent="0.3">
      <c r="A250" s="1" t="s">
        <v>1359</v>
      </c>
      <c r="B250" s="1" t="s">
        <v>429</v>
      </c>
      <c r="C250" s="1" t="s">
        <v>1359</v>
      </c>
      <c r="D250" s="1" t="s">
        <v>962</v>
      </c>
      <c r="E250" s="1" t="s">
        <v>965</v>
      </c>
      <c r="F250" s="1" t="s">
        <v>431</v>
      </c>
      <c r="G250" s="1" t="s">
        <v>430</v>
      </c>
      <c r="H250" s="1" t="s">
        <v>31</v>
      </c>
      <c r="I250" s="1" t="s">
        <v>1349</v>
      </c>
    </row>
    <row r="251" spans="1:9" x14ac:dyDescent="0.3">
      <c r="A251" s="1" t="s">
        <v>1360</v>
      </c>
      <c r="B251" s="1" t="s">
        <v>678</v>
      </c>
      <c r="C251" s="1" t="s">
        <v>1360</v>
      </c>
      <c r="D251" s="1" t="s">
        <v>962</v>
      </c>
      <c r="E251" s="1" t="s">
        <v>965</v>
      </c>
      <c r="F251" s="1" t="s">
        <v>680</v>
      </c>
      <c r="G251" s="1" t="s">
        <v>679</v>
      </c>
      <c r="H251" s="1" t="s">
        <v>31</v>
      </c>
      <c r="I251" s="1" t="s">
        <v>1349</v>
      </c>
    </row>
    <row r="252" spans="1:9" x14ac:dyDescent="0.3">
      <c r="A252" s="1" t="s">
        <v>1361</v>
      </c>
      <c r="B252" s="1" t="s">
        <v>33</v>
      </c>
      <c r="C252" s="1" t="s">
        <v>1361</v>
      </c>
      <c r="D252" s="1" t="s">
        <v>962</v>
      </c>
      <c r="E252" s="1" t="s">
        <v>965</v>
      </c>
      <c r="F252" s="1" t="s">
        <v>35</v>
      </c>
      <c r="G252" s="1" t="s">
        <v>34</v>
      </c>
      <c r="H252" s="1" t="s">
        <v>31</v>
      </c>
      <c r="I252" s="1" t="s">
        <v>1349</v>
      </c>
    </row>
    <row r="253" spans="1:9" x14ac:dyDescent="0.3">
      <c r="A253" s="1" t="s">
        <v>1362</v>
      </c>
      <c r="B253" s="1" t="s">
        <v>681</v>
      </c>
      <c r="C253" s="1" t="s">
        <v>1362</v>
      </c>
      <c r="D253" s="1" t="s">
        <v>962</v>
      </c>
      <c r="E253" s="1" t="s">
        <v>965</v>
      </c>
      <c r="F253" s="1" t="s">
        <v>683</v>
      </c>
      <c r="G253" s="1" t="s">
        <v>682</v>
      </c>
      <c r="H253" s="1" t="s">
        <v>31</v>
      </c>
      <c r="I253" s="1" t="s">
        <v>1349</v>
      </c>
    </row>
    <row r="254" spans="1:9" x14ac:dyDescent="0.3">
      <c r="A254" s="1" t="s">
        <v>1363</v>
      </c>
      <c r="B254" s="1" t="s">
        <v>971</v>
      </c>
      <c r="C254" s="1" t="s">
        <v>1363</v>
      </c>
      <c r="D254" s="1" t="s">
        <v>962</v>
      </c>
      <c r="E254" s="1" t="s">
        <v>965</v>
      </c>
      <c r="F254" s="1" t="s">
        <v>972</v>
      </c>
      <c r="G254" s="1" t="s">
        <v>973</v>
      </c>
      <c r="H254" s="1" t="s">
        <v>31</v>
      </c>
      <c r="I254" s="1" t="s">
        <v>1349</v>
      </c>
    </row>
    <row r="255" spans="1:9" x14ac:dyDescent="0.3">
      <c r="A255" s="1" t="s">
        <v>1364</v>
      </c>
      <c r="B255" s="1" t="s">
        <v>974</v>
      </c>
      <c r="C255" s="1" t="s">
        <v>1364</v>
      </c>
      <c r="D255" s="1" t="s">
        <v>975</v>
      </c>
      <c r="E255" s="1" t="s">
        <v>976</v>
      </c>
      <c r="F255" s="1" t="s">
        <v>977</v>
      </c>
      <c r="G255" s="1" t="s">
        <v>978</v>
      </c>
      <c r="H255" s="1" t="s">
        <v>575</v>
      </c>
      <c r="I255" s="1" t="s">
        <v>1365</v>
      </c>
    </row>
    <row r="256" spans="1:9" x14ac:dyDescent="0.3">
      <c r="A256" s="1" t="s">
        <v>1366</v>
      </c>
      <c r="B256" s="1" t="s">
        <v>979</v>
      </c>
      <c r="C256" s="1" t="s">
        <v>1366</v>
      </c>
      <c r="D256" s="1" t="s">
        <v>975</v>
      </c>
      <c r="E256" s="1" t="s">
        <v>980</v>
      </c>
      <c r="F256" s="1" t="s">
        <v>981</v>
      </c>
      <c r="G256" s="1" t="s">
        <v>982</v>
      </c>
      <c r="H256" s="1" t="s">
        <v>575</v>
      </c>
      <c r="I256" s="1" t="s">
        <v>1365</v>
      </c>
    </row>
    <row r="257" spans="1:9" x14ac:dyDescent="0.3">
      <c r="A257" s="1" t="s">
        <v>1367</v>
      </c>
      <c r="B257" s="1" t="s">
        <v>573</v>
      </c>
      <c r="C257" s="1" t="s">
        <v>1367</v>
      </c>
      <c r="D257" s="1" t="s">
        <v>975</v>
      </c>
      <c r="E257" s="1" t="s">
        <v>976</v>
      </c>
      <c r="F257" s="1" t="s">
        <v>576</v>
      </c>
      <c r="G257" s="1" t="s">
        <v>574</v>
      </c>
      <c r="H257" s="1" t="s">
        <v>575</v>
      </c>
      <c r="I257" s="1" t="s">
        <v>1365</v>
      </c>
    </row>
    <row r="258" spans="1:9" x14ac:dyDescent="0.3">
      <c r="A258" s="1" t="s">
        <v>1368</v>
      </c>
      <c r="B258" s="1" t="s">
        <v>577</v>
      </c>
      <c r="C258" s="1" t="s">
        <v>1368</v>
      </c>
      <c r="D258" s="1" t="s">
        <v>975</v>
      </c>
      <c r="E258" s="1" t="s">
        <v>980</v>
      </c>
      <c r="F258" s="1" t="s">
        <v>579</v>
      </c>
      <c r="G258" s="1" t="s">
        <v>578</v>
      </c>
      <c r="H258" s="1" t="s">
        <v>575</v>
      </c>
      <c r="I258" s="1" t="s">
        <v>1365</v>
      </c>
    </row>
    <row r="259" spans="1:9" x14ac:dyDescent="0.3">
      <c r="A259" s="1" t="s">
        <v>1369</v>
      </c>
      <c r="B259" s="1" t="s">
        <v>983</v>
      </c>
      <c r="C259" s="1" t="s">
        <v>1369</v>
      </c>
      <c r="D259" s="1" t="s">
        <v>975</v>
      </c>
      <c r="E259" s="1" t="s">
        <v>976</v>
      </c>
      <c r="F259" s="1" t="s">
        <v>984</v>
      </c>
      <c r="G259" s="1" t="s">
        <v>985</v>
      </c>
      <c r="H259" s="1" t="s">
        <v>575</v>
      </c>
      <c r="I259" s="1" t="s">
        <v>1365</v>
      </c>
    </row>
    <row r="260" spans="1:9" x14ac:dyDescent="0.3">
      <c r="A260" s="1" t="s">
        <v>1370</v>
      </c>
      <c r="B260" s="1" t="s">
        <v>580</v>
      </c>
      <c r="C260" s="1" t="s">
        <v>1370</v>
      </c>
      <c r="D260" s="1" t="s">
        <v>975</v>
      </c>
      <c r="E260" s="1" t="s">
        <v>980</v>
      </c>
      <c r="F260" s="1" t="s">
        <v>582</v>
      </c>
      <c r="G260" s="1" t="s">
        <v>581</v>
      </c>
      <c r="H260" s="1" t="s">
        <v>575</v>
      </c>
      <c r="I260" s="1" t="s">
        <v>1365</v>
      </c>
    </row>
    <row r="261" spans="1:9" x14ac:dyDescent="0.3">
      <c r="A261" s="1" t="s">
        <v>1371</v>
      </c>
      <c r="B261" s="1" t="s">
        <v>986</v>
      </c>
      <c r="C261" s="1" t="s">
        <v>1371</v>
      </c>
      <c r="D261" s="1" t="s">
        <v>975</v>
      </c>
      <c r="E261" s="1" t="s">
        <v>976</v>
      </c>
      <c r="F261" s="1" t="s">
        <v>987</v>
      </c>
      <c r="G261" s="1" t="s">
        <v>988</v>
      </c>
      <c r="H261" s="1" t="s">
        <v>575</v>
      </c>
      <c r="I261" s="1" t="s">
        <v>1365</v>
      </c>
    </row>
    <row r="262" spans="1:9" x14ac:dyDescent="0.3">
      <c r="A262" s="1" t="s">
        <v>1372</v>
      </c>
      <c r="B262" s="1" t="s">
        <v>672</v>
      </c>
      <c r="C262" s="1" t="s">
        <v>1372</v>
      </c>
      <c r="D262" s="1" t="s">
        <v>989</v>
      </c>
      <c r="E262" s="1" t="s">
        <v>989</v>
      </c>
      <c r="F262" s="1" t="s">
        <v>674</v>
      </c>
      <c r="G262" s="1" t="s">
        <v>673</v>
      </c>
      <c r="H262" s="1" t="s">
        <v>575</v>
      </c>
      <c r="I262" s="1" t="s">
        <v>1365</v>
      </c>
    </row>
    <row r="263" spans="1:9" x14ac:dyDescent="0.3">
      <c r="A263" s="1" t="s">
        <v>1373</v>
      </c>
      <c r="B263" s="1" t="s">
        <v>990</v>
      </c>
      <c r="C263" s="1" t="s">
        <v>1373</v>
      </c>
      <c r="D263" s="1" t="s">
        <v>989</v>
      </c>
      <c r="E263" s="1" t="s">
        <v>989</v>
      </c>
      <c r="F263" s="1" t="s">
        <v>991</v>
      </c>
      <c r="G263" s="1" t="s">
        <v>992</v>
      </c>
      <c r="H263" s="1" t="s">
        <v>575</v>
      </c>
      <c r="I263" s="1" t="s">
        <v>1365</v>
      </c>
    </row>
    <row r="264" spans="1:9" x14ac:dyDescent="0.3">
      <c r="A264" s="1" t="s">
        <v>1374</v>
      </c>
      <c r="B264" s="1" t="s">
        <v>993</v>
      </c>
      <c r="C264" s="1" t="s">
        <v>1374</v>
      </c>
      <c r="D264" s="1" t="s">
        <v>975</v>
      </c>
      <c r="E264" s="1" t="s">
        <v>994</v>
      </c>
      <c r="F264" s="1" t="s">
        <v>995</v>
      </c>
      <c r="G264" s="1" t="s">
        <v>996</v>
      </c>
      <c r="H264" s="1" t="s">
        <v>575</v>
      </c>
      <c r="I264" s="1" t="s">
        <v>1365</v>
      </c>
    </row>
    <row r="265" spans="1:9" x14ac:dyDescent="0.3">
      <c r="A265" s="1" t="s">
        <v>1375</v>
      </c>
      <c r="B265" s="1" t="s">
        <v>333</v>
      </c>
      <c r="C265" s="1" t="s">
        <v>1375</v>
      </c>
      <c r="D265" s="1" t="s">
        <v>997</v>
      </c>
      <c r="E265" s="1" t="s">
        <v>998</v>
      </c>
      <c r="F265" s="1" t="s">
        <v>335</v>
      </c>
      <c r="G265" s="1" t="s">
        <v>334</v>
      </c>
      <c r="H265" s="1" t="s">
        <v>67</v>
      </c>
      <c r="I265" s="1" t="s">
        <v>1376</v>
      </c>
    </row>
    <row r="266" spans="1:9" x14ac:dyDescent="0.3">
      <c r="A266" s="1" t="s">
        <v>1377</v>
      </c>
      <c r="B266" s="1" t="s">
        <v>170</v>
      </c>
      <c r="C266" s="1" t="s">
        <v>1377</v>
      </c>
      <c r="D266" s="1" t="s">
        <v>997</v>
      </c>
      <c r="E266" s="1" t="s">
        <v>926</v>
      </c>
      <c r="F266" s="1" t="s">
        <v>174</v>
      </c>
      <c r="G266" s="1" t="s">
        <v>172</v>
      </c>
      <c r="H266" s="1" t="s">
        <v>67</v>
      </c>
      <c r="I266" s="1" t="s">
        <v>1376</v>
      </c>
    </row>
    <row r="267" spans="1:9" x14ac:dyDescent="0.3">
      <c r="A267" s="1" t="s">
        <v>1378</v>
      </c>
      <c r="B267" s="1" t="s">
        <v>349</v>
      </c>
      <c r="C267" s="1" t="s">
        <v>1378</v>
      </c>
      <c r="D267" s="1" t="s">
        <v>997</v>
      </c>
      <c r="E267" s="1" t="s">
        <v>998</v>
      </c>
      <c r="F267" s="1" t="s">
        <v>351</v>
      </c>
      <c r="G267" s="1" t="s">
        <v>350</v>
      </c>
      <c r="H267" s="1" t="s">
        <v>67</v>
      </c>
      <c r="I267" s="1" t="s">
        <v>1376</v>
      </c>
    </row>
    <row r="268" spans="1:9" x14ac:dyDescent="0.3">
      <c r="A268" s="1" t="s">
        <v>1379</v>
      </c>
      <c r="B268" s="1" t="s">
        <v>583</v>
      </c>
      <c r="C268" s="1" t="s">
        <v>1379</v>
      </c>
      <c r="D268" s="1" t="s">
        <v>997</v>
      </c>
      <c r="E268" s="1" t="s">
        <v>999</v>
      </c>
      <c r="F268" s="1" t="s">
        <v>585</v>
      </c>
      <c r="G268" s="1" t="s">
        <v>584</v>
      </c>
      <c r="H268" s="1" t="s">
        <v>67</v>
      </c>
      <c r="I268" s="1" t="s">
        <v>1376</v>
      </c>
    </row>
    <row r="269" spans="1:9" x14ac:dyDescent="0.3">
      <c r="A269" s="1" t="s">
        <v>1380</v>
      </c>
      <c r="B269" s="1" t="s">
        <v>65</v>
      </c>
      <c r="C269" s="1" t="s">
        <v>1380</v>
      </c>
      <c r="D269" s="1" t="s">
        <v>997</v>
      </c>
      <c r="E269" s="1" t="s">
        <v>1000</v>
      </c>
      <c r="F269" s="1" t="s">
        <v>68</v>
      </c>
      <c r="G269" s="1" t="s">
        <v>66</v>
      </c>
      <c r="H269" s="1" t="s">
        <v>67</v>
      </c>
      <c r="I269" s="1" t="s">
        <v>1376</v>
      </c>
    </row>
    <row r="270" spans="1:9" x14ac:dyDescent="0.3">
      <c r="A270" s="1" t="s">
        <v>1381</v>
      </c>
      <c r="B270" s="1" t="s">
        <v>1001</v>
      </c>
      <c r="C270" s="1" t="s">
        <v>1381</v>
      </c>
      <c r="D270" s="1" t="s">
        <v>997</v>
      </c>
      <c r="E270" s="1" t="s">
        <v>998</v>
      </c>
      <c r="F270" s="1" t="s">
        <v>1002</v>
      </c>
      <c r="G270" s="1" t="s">
        <v>1003</v>
      </c>
      <c r="H270" s="1" t="s">
        <v>67</v>
      </c>
      <c r="I270" s="1" t="s">
        <v>1376</v>
      </c>
    </row>
    <row r="271" spans="1:9" x14ac:dyDescent="0.3">
      <c r="A271" s="1" t="s">
        <v>1382</v>
      </c>
      <c r="B271" s="1" t="s">
        <v>586</v>
      </c>
      <c r="C271" s="1" t="s">
        <v>1382</v>
      </c>
      <c r="D271" s="1" t="s">
        <v>997</v>
      </c>
      <c r="E271" s="1" t="s">
        <v>998</v>
      </c>
      <c r="F271" s="1" t="s">
        <v>588</v>
      </c>
      <c r="G271" s="1" t="s">
        <v>587</v>
      </c>
      <c r="H271" s="1" t="s">
        <v>67</v>
      </c>
      <c r="I271" s="1" t="s">
        <v>1376</v>
      </c>
    </row>
    <row r="272" spans="1:9" x14ac:dyDescent="0.3">
      <c r="A272" s="1" t="s">
        <v>1383</v>
      </c>
      <c r="B272" s="1" t="s">
        <v>702</v>
      </c>
      <c r="C272" s="1" t="s">
        <v>1383</v>
      </c>
      <c r="D272" s="1" t="s">
        <v>997</v>
      </c>
      <c r="E272" s="1" t="s">
        <v>998</v>
      </c>
      <c r="F272" s="1" t="s">
        <v>704</v>
      </c>
      <c r="G272" s="1" t="s">
        <v>703</v>
      </c>
      <c r="H272" s="1" t="s">
        <v>67</v>
      </c>
      <c r="I272" s="1" t="s">
        <v>1376</v>
      </c>
    </row>
    <row r="273" spans="1:11" x14ac:dyDescent="0.3">
      <c r="A273" s="1" t="s">
        <v>1384</v>
      </c>
      <c r="B273" s="1" t="s">
        <v>705</v>
      </c>
      <c r="C273" s="1" t="s">
        <v>1384</v>
      </c>
      <c r="D273" s="1" t="s">
        <v>997</v>
      </c>
      <c r="E273" s="1" t="s">
        <v>1004</v>
      </c>
      <c r="F273" s="1" t="s">
        <v>707</v>
      </c>
      <c r="G273" s="1" t="s">
        <v>706</v>
      </c>
      <c r="H273" s="1" t="s">
        <v>67</v>
      </c>
      <c r="I273" s="1" t="s">
        <v>1376</v>
      </c>
    </row>
    <row r="274" spans="1:11" x14ac:dyDescent="0.3">
      <c r="A274" s="1" t="s">
        <v>1385</v>
      </c>
      <c r="B274" s="1" t="s">
        <v>318</v>
      </c>
      <c r="C274" s="1" t="s">
        <v>1385</v>
      </c>
      <c r="D274" s="1" t="s">
        <v>997</v>
      </c>
      <c r="E274" s="1" t="s">
        <v>1005</v>
      </c>
      <c r="F274" s="1" t="s">
        <v>320</v>
      </c>
      <c r="G274" s="1" t="s">
        <v>319</v>
      </c>
      <c r="H274" s="1" t="s">
        <v>67</v>
      </c>
      <c r="I274" s="1" t="s">
        <v>1376</v>
      </c>
    </row>
    <row r="275" spans="1:11" x14ac:dyDescent="0.3">
      <c r="A275" s="1" t="s">
        <v>1386</v>
      </c>
      <c r="B275" s="1" t="s">
        <v>321</v>
      </c>
      <c r="C275" s="1" t="s">
        <v>1386</v>
      </c>
      <c r="D275" s="1" t="s">
        <v>997</v>
      </c>
      <c r="E275" s="1" t="s">
        <v>1005</v>
      </c>
      <c r="F275" s="1" t="s">
        <v>323</v>
      </c>
      <c r="G275" s="1" t="s">
        <v>322</v>
      </c>
      <c r="H275" s="1" t="s">
        <v>67</v>
      </c>
      <c r="I275" s="1" t="s">
        <v>1376</v>
      </c>
    </row>
    <row r="276" spans="1:11" x14ac:dyDescent="0.3">
      <c r="A276" s="1" t="s">
        <v>1387</v>
      </c>
      <c r="B276" s="1" t="s">
        <v>1006</v>
      </c>
      <c r="C276" s="1" t="s">
        <v>1387</v>
      </c>
      <c r="D276" s="1" t="s">
        <v>997</v>
      </c>
      <c r="E276" s="1" t="s">
        <v>1005</v>
      </c>
      <c r="F276" s="1" t="s">
        <v>1007</v>
      </c>
      <c r="G276" s="1" t="s">
        <v>1008</v>
      </c>
      <c r="H276" s="1" t="s">
        <v>67</v>
      </c>
      <c r="I276" s="1" t="s">
        <v>1376</v>
      </c>
    </row>
    <row r="277" spans="1:11" x14ac:dyDescent="0.3">
      <c r="A277" s="1" t="s">
        <v>1388</v>
      </c>
      <c r="B277" s="1" t="s">
        <v>553</v>
      </c>
      <c r="C277" s="1" t="s">
        <v>1388</v>
      </c>
      <c r="D277" s="1" t="s">
        <v>997</v>
      </c>
      <c r="E277" s="1" t="s">
        <v>1005</v>
      </c>
      <c r="F277" s="1" t="s">
        <v>555</v>
      </c>
      <c r="G277" s="1" t="s">
        <v>554</v>
      </c>
      <c r="H277" s="1" t="s">
        <v>67</v>
      </c>
      <c r="I277" s="1" t="s">
        <v>1376</v>
      </c>
    </row>
    <row r="278" spans="1:11" x14ac:dyDescent="0.3">
      <c r="A278" s="1" t="s">
        <v>1389</v>
      </c>
      <c r="B278" s="1" t="s">
        <v>556</v>
      </c>
      <c r="C278" s="1" t="s">
        <v>1389</v>
      </c>
      <c r="D278" s="1" t="s">
        <v>997</v>
      </c>
      <c r="E278" s="1" t="s">
        <v>998</v>
      </c>
      <c r="F278" s="1" t="s">
        <v>558</v>
      </c>
      <c r="G278" s="1" t="s">
        <v>557</v>
      </c>
      <c r="H278" s="1" t="s">
        <v>67</v>
      </c>
      <c r="I278" s="1" t="s">
        <v>1376</v>
      </c>
    </row>
    <row r="279" spans="1:11" x14ac:dyDescent="0.3">
      <c r="A279" s="1" t="s">
        <v>1390</v>
      </c>
      <c r="B279" s="1" t="s">
        <v>589</v>
      </c>
      <c r="C279" s="1" t="s">
        <v>1390</v>
      </c>
      <c r="D279" s="1" t="s">
        <v>997</v>
      </c>
      <c r="E279" s="1" t="s">
        <v>926</v>
      </c>
      <c r="F279" s="1" t="s">
        <v>591</v>
      </c>
      <c r="G279" s="1" t="s">
        <v>590</v>
      </c>
      <c r="H279" s="1" t="s">
        <v>67</v>
      </c>
      <c r="I279" s="1" t="s">
        <v>1376</v>
      </c>
    </row>
    <row r="280" spans="1:11" x14ac:dyDescent="0.3">
      <c r="A280" s="1" t="s">
        <v>1391</v>
      </c>
      <c r="B280" s="1" t="s">
        <v>69</v>
      </c>
      <c r="C280" s="1" t="s">
        <v>1391</v>
      </c>
      <c r="D280" s="1" t="s">
        <v>997</v>
      </c>
      <c r="E280" s="1" t="s">
        <v>1004</v>
      </c>
      <c r="F280" s="1" t="s">
        <v>71</v>
      </c>
      <c r="G280" s="1" t="s">
        <v>70</v>
      </c>
      <c r="H280" s="1" t="s">
        <v>67</v>
      </c>
      <c r="I280" s="1" t="s">
        <v>1376</v>
      </c>
    </row>
    <row r="281" spans="1:11" x14ac:dyDescent="0.3">
      <c r="A281" s="1" t="s">
        <v>1392</v>
      </c>
      <c r="B281" s="1" t="s">
        <v>72</v>
      </c>
      <c r="C281" s="1" t="s">
        <v>1392</v>
      </c>
      <c r="D281" s="1" t="s">
        <v>997</v>
      </c>
      <c r="E281" s="1" t="s">
        <v>1004</v>
      </c>
      <c r="F281" s="1" t="s">
        <v>74</v>
      </c>
      <c r="G281" s="1" t="s">
        <v>73</v>
      </c>
      <c r="H281" s="1" t="s">
        <v>67</v>
      </c>
      <c r="I281" s="1" t="s">
        <v>1376</v>
      </c>
    </row>
    <row r="282" spans="1:11" x14ac:dyDescent="0.3">
      <c r="A282" s="1" t="s">
        <v>1393</v>
      </c>
      <c r="B282" s="1" t="s">
        <v>212</v>
      </c>
      <c r="C282" s="1" t="s">
        <v>1393</v>
      </c>
      <c r="D282" s="1" t="s">
        <v>997</v>
      </c>
      <c r="E282" s="1" t="s">
        <v>1004</v>
      </c>
      <c r="F282" s="1" t="s">
        <v>214</v>
      </c>
      <c r="G282" s="1" t="s">
        <v>213</v>
      </c>
      <c r="H282" s="1" t="s">
        <v>67</v>
      </c>
      <c r="I282" s="1" t="s">
        <v>1376</v>
      </c>
    </row>
    <row r="283" spans="1:11" x14ac:dyDescent="0.3">
      <c r="A283" s="1" t="s">
        <v>1394</v>
      </c>
      <c r="B283" s="1" t="s">
        <v>535</v>
      </c>
      <c r="C283" s="1" t="s">
        <v>1394</v>
      </c>
      <c r="D283" s="1" t="s">
        <v>997</v>
      </c>
      <c r="E283" s="1" t="s">
        <v>999</v>
      </c>
      <c r="F283" s="1" t="s">
        <v>537</v>
      </c>
      <c r="G283" s="1" t="s">
        <v>536</v>
      </c>
      <c r="H283" s="1" t="s">
        <v>67</v>
      </c>
      <c r="I283" s="1" t="s">
        <v>1376</v>
      </c>
    </row>
    <row r="284" spans="1:11" x14ac:dyDescent="0.3">
      <c r="A284" s="1" t="s">
        <v>1395</v>
      </c>
      <c r="B284" s="1" t="s">
        <v>352</v>
      </c>
      <c r="C284" s="1" t="s">
        <v>1395</v>
      </c>
      <c r="D284" s="1" t="s">
        <v>997</v>
      </c>
      <c r="E284" s="1" t="s">
        <v>998</v>
      </c>
      <c r="F284" s="1" t="s">
        <v>354</v>
      </c>
      <c r="G284" s="1" t="s">
        <v>353</v>
      </c>
      <c r="H284" s="1" t="s">
        <v>67</v>
      </c>
      <c r="I284" s="1" t="s">
        <v>1376</v>
      </c>
    </row>
    <row r="285" spans="1:11" x14ac:dyDescent="0.3">
      <c r="A285" s="1" t="s">
        <v>1396</v>
      </c>
      <c r="B285" s="1" t="s">
        <v>1009</v>
      </c>
      <c r="C285" s="1" t="s">
        <v>1396</v>
      </c>
      <c r="D285" s="1" t="s">
        <v>997</v>
      </c>
      <c r="E285" s="1" t="s">
        <v>999</v>
      </c>
      <c r="F285" s="1" t="s">
        <v>1010</v>
      </c>
      <c r="G285" s="1" t="s">
        <v>1011</v>
      </c>
      <c r="H285" s="1" t="s">
        <v>67</v>
      </c>
      <c r="I285" s="1" t="s">
        <v>1376</v>
      </c>
    </row>
    <row r="287" spans="1:11" x14ac:dyDescent="0.3">
      <c r="G287" s="1" t="s">
        <v>793</v>
      </c>
      <c r="H287" s="1" t="s">
        <v>795</v>
      </c>
      <c r="K287" s="1" t="s">
        <v>1041</v>
      </c>
    </row>
    <row r="288" spans="1:11" x14ac:dyDescent="0.3">
      <c r="E288" s="1" t="s">
        <v>1069</v>
      </c>
      <c r="F288" s="1" t="s">
        <v>1012</v>
      </c>
      <c r="G288" s="2" t="s">
        <v>274</v>
      </c>
      <c r="H288" s="2" t="s">
        <v>250</v>
      </c>
      <c r="K288" s="1" t="s">
        <v>1039</v>
      </c>
    </row>
    <row r="289" spans="5:11" x14ac:dyDescent="0.3">
      <c r="E289" s="1" t="s">
        <v>1070</v>
      </c>
      <c r="F289" s="1" t="s">
        <v>1012</v>
      </c>
      <c r="G289" s="1" t="s">
        <v>277</v>
      </c>
      <c r="H289" s="1" t="s">
        <v>1071</v>
      </c>
      <c r="K289" s="1" t="s">
        <v>1039</v>
      </c>
    </row>
    <row r="290" spans="5:11" x14ac:dyDescent="0.3">
      <c r="F290" s="1" t="s">
        <v>1013</v>
      </c>
      <c r="G290" s="1" t="s">
        <v>1033</v>
      </c>
      <c r="H290" s="1" t="s">
        <v>1032</v>
      </c>
      <c r="K290" s="1" t="s">
        <v>1040</v>
      </c>
    </row>
    <row r="291" spans="5:11" x14ac:dyDescent="0.3">
      <c r="F291" s="1" t="s">
        <v>1014</v>
      </c>
      <c r="G291" s="1" t="s">
        <v>1034</v>
      </c>
      <c r="H291" s="1" t="s">
        <v>1035</v>
      </c>
      <c r="K291" s="1" t="s">
        <v>1038</v>
      </c>
    </row>
    <row r="292" spans="5:11" x14ac:dyDescent="0.3">
      <c r="F292" s="1" t="s">
        <v>1015</v>
      </c>
      <c r="G292" s="1" t="s">
        <v>1036</v>
      </c>
      <c r="H292" s="1" t="s">
        <v>1035</v>
      </c>
      <c r="K292" s="1" t="s">
        <v>1038</v>
      </c>
    </row>
    <row r="293" spans="5:11" x14ac:dyDescent="0.3">
      <c r="F293" s="1" t="s">
        <v>1016</v>
      </c>
      <c r="G293" s="1" t="s">
        <v>1037</v>
      </c>
      <c r="H293" s="1" t="s">
        <v>1032</v>
      </c>
      <c r="K293" s="1" t="s">
        <v>1038</v>
      </c>
    </row>
    <row r="294" spans="5:11" x14ac:dyDescent="0.3">
      <c r="F294" s="1" t="s">
        <v>1017</v>
      </c>
      <c r="G294" s="1" t="s">
        <v>1042</v>
      </c>
      <c r="H294" s="1" t="s">
        <v>1043</v>
      </c>
      <c r="K294" s="1" t="s">
        <v>1038</v>
      </c>
    </row>
    <row r="295" spans="5:11" x14ac:dyDescent="0.3">
      <c r="F295" s="1" t="s">
        <v>1018</v>
      </c>
      <c r="G295" s="1" t="s">
        <v>1044</v>
      </c>
      <c r="H295" s="1" t="s">
        <v>1043</v>
      </c>
      <c r="K295" s="1" t="s">
        <v>1038</v>
      </c>
    </row>
    <row r="296" spans="5:11" x14ac:dyDescent="0.3">
      <c r="F296" s="1" t="s">
        <v>1019</v>
      </c>
      <c r="G296" s="1" t="s">
        <v>1045</v>
      </c>
      <c r="H296" s="1" t="s">
        <v>1043</v>
      </c>
      <c r="K296" s="1" t="s">
        <v>1038</v>
      </c>
    </row>
    <row r="297" spans="5:11" x14ac:dyDescent="0.3">
      <c r="F297" s="1" t="s">
        <v>1020</v>
      </c>
      <c r="G297" s="1" t="s">
        <v>1046</v>
      </c>
      <c r="H297" s="1" t="s">
        <v>1035</v>
      </c>
      <c r="K297" s="1" t="s">
        <v>1038</v>
      </c>
    </row>
    <row r="298" spans="5:11" x14ac:dyDescent="0.3">
      <c r="F298" s="1" t="s">
        <v>1021</v>
      </c>
      <c r="G298" s="1" t="s">
        <v>1047</v>
      </c>
      <c r="H298" s="1" t="s">
        <v>1032</v>
      </c>
      <c r="K298" s="1" t="s">
        <v>1038</v>
      </c>
    </row>
    <row r="299" spans="5:11" x14ac:dyDescent="0.3">
      <c r="F299" s="1" t="s">
        <v>1022</v>
      </c>
      <c r="G299" s="1" t="s">
        <v>1051</v>
      </c>
      <c r="H299" s="1" t="s">
        <v>1052</v>
      </c>
      <c r="K299" s="1" t="s">
        <v>1038</v>
      </c>
    </row>
    <row r="300" spans="5:11" x14ac:dyDescent="0.3">
      <c r="F300" s="1" t="s">
        <v>1023</v>
      </c>
      <c r="G300" s="1" t="s">
        <v>1048</v>
      </c>
      <c r="H300" s="1" t="s">
        <v>1035</v>
      </c>
      <c r="K300" s="1" t="s">
        <v>1038</v>
      </c>
    </row>
    <row r="301" spans="5:11" x14ac:dyDescent="0.3">
      <c r="F301" s="1" t="s">
        <v>1024</v>
      </c>
      <c r="G301" s="1" t="s">
        <v>1049</v>
      </c>
      <c r="H301" s="1" t="s">
        <v>1032</v>
      </c>
      <c r="K301" s="1" t="s">
        <v>1038</v>
      </c>
    </row>
    <row r="302" spans="5:11" x14ac:dyDescent="0.3">
      <c r="E302" s="1" t="s">
        <v>1061</v>
      </c>
      <c r="F302" s="1" t="s">
        <v>1025</v>
      </c>
      <c r="G302" s="1" t="s">
        <v>1050</v>
      </c>
      <c r="H302" s="1" t="s">
        <v>1032</v>
      </c>
      <c r="K302" s="1" t="s">
        <v>1038</v>
      </c>
    </row>
    <row r="303" spans="5:11" x14ac:dyDescent="0.3">
      <c r="E303" s="1" t="s">
        <v>1063</v>
      </c>
      <c r="F303" s="1" t="s">
        <v>1026</v>
      </c>
      <c r="G303" s="1" t="s">
        <v>1053</v>
      </c>
      <c r="H303" s="1" t="s">
        <v>1054</v>
      </c>
      <c r="K303" s="1" t="s">
        <v>1038</v>
      </c>
    </row>
    <row r="304" spans="5:11" x14ac:dyDescent="0.3">
      <c r="E304" s="1" t="s">
        <v>1065</v>
      </c>
      <c r="F304" s="1" t="s">
        <v>1026</v>
      </c>
      <c r="G304" s="1" t="s">
        <v>1064</v>
      </c>
      <c r="H304" s="1" t="s">
        <v>1054</v>
      </c>
      <c r="K304" s="1" t="s">
        <v>1039</v>
      </c>
    </row>
    <row r="305" spans="5:11" x14ac:dyDescent="0.3">
      <c r="E305" s="1" t="s">
        <v>1066</v>
      </c>
      <c r="F305" s="1" t="s">
        <v>1062</v>
      </c>
      <c r="G305" s="1" t="s">
        <v>289</v>
      </c>
      <c r="H305" s="1" t="s">
        <v>167</v>
      </c>
      <c r="K305" s="1" t="s">
        <v>1038</v>
      </c>
    </row>
    <row r="306" spans="5:11" x14ac:dyDescent="0.3">
      <c r="F306" s="1" t="s">
        <v>1062</v>
      </c>
      <c r="G306" s="1" t="s">
        <v>1067</v>
      </c>
      <c r="H306" s="1" t="s">
        <v>1068</v>
      </c>
      <c r="K306" s="1" t="s">
        <v>1040</v>
      </c>
    </row>
    <row r="307" spans="5:11" x14ac:dyDescent="0.3">
      <c r="F307" s="1" t="s">
        <v>1027</v>
      </c>
      <c r="G307" s="1" t="s">
        <v>1055</v>
      </c>
      <c r="H307" s="1" t="s">
        <v>1035</v>
      </c>
      <c r="K307" s="1" t="s">
        <v>1038</v>
      </c>
    </row>
    <row r="308" spans="5:11" x14ac:dyDescent="0.3">
      <c r="F308" s="1" t="s">
        <v>1028</v>
      </c>
      <c r="G308" s="1" t="s">
        <v>1056</v>
      </c>
      <c r="H308" s="1" t="s">
        <v>1035</v>
      </c>
      <c r="K308" s="1" t="s">
        <v>1038</v>
      </c>
    </row>
    <row r="309" spans="5:11" x14ac:dyDescent="0.3">
      <c r="F309" s="1" t="s">
        <v>1029</v>
      </c>
      <c r="G309" s="1" t="s">
        <v>1057</v>
      </c>
      <c r="H309" s="1" t="s">
        <v>1043</v>
      </c>
      <c r="K309" s="1" t="s">
        <v>1038</v>
      </c>
    </row>
    <row r="310" spans="5:11" x14ac:dyDescent="0.3">
      <c r="F310" s="1" t="s">
        <v>1030</v>
      </c>
      <c r="G310" s="1" t="s">
        <v>1058</v>
      </c>
      <c r="H310" s="1" t="s">
        <v>1032</v>
      </c>
      <c r="K310" s="1" t="s">
        <v>1038</v>
      </c>
    </row>
    <row r="311" spans="5:11" x14ac:dyDescent="0.3">
      <c r="F311" s="1" t="s">
        <v>1031</v>
      </c>
      <c r="G311" s="1" t="s">
        <v>1059</v>
      </c>
      <c r="H311" s="1" t="s">
        <v>1060</v>
      </c>
      <c r="K311" s="1" t="s">
        <v>1038</v>
      </c>
    </row>
    <row r="312" spans="5:11" x14ac:dyDescent="0.3">
      <c r="F312" s="1" t="s">
        <v>1494</v>
      </c>
      <c r="G312" s="1" t="s">
        <v>1497</v>
      </c>
      <c r="H312" s="1" t="s">
        <v>1498</v>
      </c>
      <c r="K312" s="1" t="s">
        <v>1038</v>
      </c>
    </row>
    <row r="313" spans="5:11" x14ac:dyDescent="0.3">
      <c r="F313" s="1" t="s">
        <v>1495</v>
      </c>
      <c r="G313" s="1" t="s">
        <v>1499</v>
      </c>
      <c r="H313" s="1" t="s">
        <v>1043</v>
      </c>
      <c r="K313" s="1" t="s">
        <v>1038</v>
      </c>
    </row>
    <row r="314" spans="5:11" x14ac:dyDescent="0.3">
      <c r="F314" s="1" t="s">
        <v>1496</v>
      </c>
      <c r="G314" s="1" t="s">
        <v>1500</v>
      </c>
      <c r="H314" s="1" t="s">
        <v>1501</v>
      </c>
      <c r="K314" s="1" t="s">
        <v>1038</v>
      </c>
    </row>
  </sheetData>
  <phoneticPr fontId="1" type="noConversion"/>
  <conditionalFormatting sqref="G1:G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BDFC-A171-47C5-8B07-2A59271D52ED}">
  <dimension ref="A1:I326"/>
  <sheetViews>
    <sheetView tabSelected="1" zoomScale="85" zoomScaleNormal="85" workbookViewId="0"/>
  </sheetViews>
  <sheetFormatPr defaultRowHeight="14.5" x14ac:dyDescent="0.3"/>
  <cols>
    <col min="1" max="1" width="33.4140625" style="1" bestFit="1" customWidth="1"/>
    <col min="2" max="2" width="37.4140625" style="1" bestFit="1" customWidth="1"/>
    <col min="3" max="3" width="11.6640625" style="1" bestFit="1" customWidth="1"/>
    <col min="4" max="4" width="12.08203125" style="1" bestFit="1" customWidth="1"/>
    <col min="5" max="5" width="80.6640625" style="1" bestFit="1" customWidth="1"/>
    <col min="6" max="6" width="42.33203125" style="1" bestFit="1" customWidth="1"/>
    <col min="7" max="7" width="47.83203125" style="1" bestFit="1" customWidth="1"/>
    <col min="8" max="8" width="42.33203125" style="1" bestFit="1" customWidth="1"/>
    <col min="9" max="9" width="42.6640625" style="1" bestFit="1" customWidth="1"/>
    <col min="10" max="16384" width="8.6640625" style="1"/>
  </cols>
  <sheetData>
    <row r="1" spans="1:9" x14ac:dyDescent="0.3">
      <c r="A1" s="1" t="s">
        <v>0</v>
      </c>
      <c r="B1" s="1" t="s">
        <v>1</v>
      </c>
      <c r="C1" s="1" t="s">
        <v>790</v>
      </c>
      <c r="D1" s="1" t="s">
        <v>791</v>
      </c>
      <c r="E1" s="1" t="s">
        <v>788</v>
      </c>
      <c r="F1" s="1" t="s">
        <v>792</v>
      </c>
      <c r="G1" s="1" t="s">
        <v>793</v>
      </c>
      <c r="H1" s="1" t="s">
        <v>794</v>
      </c>
      <c r="I1" s="1" t="s">
        <v>795</v>
      </c>
    </row>
    <row r="2" spans="1:9" x14ac:dyDescent="0.3">
      <c r="A2" s="1" t="s">
        <v>1397</v>
      </c>
      <c r="B2" s="1" t="s">
        <v>1398</v>
      </c>
      <c r="C2" s="1" t="str">
        <f t="shared" ref="C2:C65" si="0">IF(_xlfn.TEXTBEFORE(_xlfn.TEXTAFTER(A2,"|"),"|")="CNRZH","CNTAO",_xlfn.TEXTBEFORE(_xlfn.TEXTAFTER(A2,"|"),"|"))</f>
        <v>CNDLC</v>
      </c>
      <c r="D2" s="1" t="str">
        <f t="shared" ref="D2:D65" si="1">_xlfn.TEXTBEFORE(_xlfn.TEXTAFTER(B2,"|"),"|")</f>
        <v>MXZLO</v>
      </c>
      <c r="E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https://www.weiyun001.com/routePort?st=ngJ9pZF1dUQkTJV1KSwmlw%253D%253D&amp;de=2Hr1qa96pxp8yXraB9fpQw%253D%253D&amp;rg=ngJ9pZF1dUQkTJV1KSwmlw%253D%253D&amp;rt=gR2po4rysa6ynGuDnPrqMA%253D%253D</v>
      </c>
      <c r="F2" s="1" t="str">
        <f>VLOOKUP(Port_Optimization_001[[#This Row],[POL CODE]],POL!F:H,2,0)</f>
        <v>ngJ9pZF1dUQkTJV1KSwmlw%253D%253D</v>
      </c>
      <c r="G2" s="1" t="str">
        <f>_xlfn.IFNA(VLOOKUP(Port_Optimization_001[[#This Row],[POD CODE]],POD!F:H,2,0),"")</f>
        <v>2Hr1qa96pxp8yXraB9fpQw%253D%253D</v>
      </c>
      <c r="H2" s="1" t="str">
        <f>VLOOKUP(Port_Optimization_001[[#This Row],[POL CODE]],POL!F:H,3,0)</f>
        <v>ngJ9pZF1dUQkTJV1KSwmlw%253D%253D</v>
      </c>
      <c r="I2" s="1" t="str">
        <f>_xlfn.IFNA(VLOOKUP(Port_Optimization_001[[#This Row],[POD CODE]],POD!F:H,3,0),"")</f>
        <v>gR2po4rysa6ynGuDnPrqMA%253D%253D</v>
      </c>
    </row>
    <row r="3" spans="1:9" x14ac:dyDescent="0.3">
      <c r="A3" s="1" t="s">
        <v>1397</v>
      </c>
      <c r="B3" s="1" t="s">
        <v>1399</v>
      </c>
      <c r="C3" s="1" t="str">
        <f t="shared" si="0"/>
        <v>CNDLC</v>
      </c>
      <c r="D3" s="1" t="str">
        <f t="shared" si="1"/>
        <v>GBFXT</v>
      </c>
      <c r="E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https://www.weiyun001.com/routePort?st=ngJ9pZF1dUQkTJV1KSwmlw%253D%253D&amp;de=lyIBtN5jVeYlTjYD7kLYaQ%253D%253D&amp;rg=ngJ9pZF1dUQkTJV1KSwmlw%253D%253D&amp;rt=IV85J0mX0Segto%252FH4Zk5Tg%253D%253D</v>
      </c>
      <c r="F3" s="1" t="str">
        <f>VLOOKUP(Port_Optimization_001[[#This Row],[POL CODE]],POL!F:H,2,0)</f>
        <v>ngJ9pZF1dUQkTJV1KSwmlw%253D%253D</v>
      </c>
      <c r="G3" s="1" t="str">
        <f>_xlfn.IFNA(VLOOKUP(Port_Optimization_001[[#This Row],[POD CODE]],POD!F:H,2,0),"")</f>
        <v>lyIBtN5jVeYlTjYD7kLYaQ%253D%253D</v>
      </c>
      <c r="H3" s="1" t="str">
        <f>VLOOKUP(Port_Optimization_001[[#This Row],[POL CODE]],POL!F:H,3,0)</f>
        <v>ngJ9pZF1dUQkTJV1KSwmlw%253D%253D</v>
      </c>
      <c r="I3" s="1" t="str">
        <f>_xlfn.IFNA(VLOOKUP(Port_Optimization_001[[#This Row],[POD CODE]],POD!F:H,3,0),"")</f>
        <v>IV85J0mX0Segto%252FH4Zk5Tg%253D%253D</v>
      </c>
    </row>
    <row r="4" spans="1:9" x14ac:dyDescent="0.3">
      <c r="A4" s="1" t="s">
        <v>1397</v>
      </c>
      <c r="B4" s="1" t="s">
        <v>1400</v>
      </c>
      <c r="C4" s="1" t="str">
        <f t="shared" si="0"/>
        <v>CNDLC</v>
      </c>
      <c r="D4" s="1" t="str">
        <f t="shared" si="1"/>
        <v>NLRTM</v>
      </c>
      <c r="E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https://www.weiyun001.com/routePort?st=ngJ9pZF1dUQkTJV1KSwmlw%253D%253D&amp;de=h375AOSlvQCFgmjT%252F5HSqA%253D%253D&amp;rg=ngJ9pZF1dUQkTJV1KSwmlw%253D%253D&amp;rt=IV85J0mX0Segto%252FH4Zk5Tg%253D%253D</v>
      </c>
      <c r="F4" s="1" t="str">
        <f>VLOOKUP(Port_Optimization_001[[#This Row],[POL CODE]],POL!F:H,2,0)</f>
        <v>ngJ9pZF1dUQkTJV1KSwmlw%253D%253D</v>
      </c>
      <c r="G4" s="1" t="str">
        <f>_xlfn.IFNA(VLOOKUP(Port_Optimization_001[[#This Row],[POD CODE]],POD!F:H,2,0),"")</f>
        <v>h375AOSlvQCFgmjT%252F5HSqA%253D%253D</v>
      </c>
      <c r="H4" s="1" t="str">
        <f>VLOOKUP(Port_Optimization_001[[#This Row],[POL CODE]],POL!F:H,3,0)</f>
        <v>ngJ9pZF1dUQkTJV1KSwmlw%253D%253D</v>
      </c>
      <c r="I4" s="1" t="str">
        <f>_xlfn.IFNA(VLOOKUP(Port_Optimization_001[[#This Row],[POD CODE]],POD!F:H,3,0),"")</f>
        <v>IV85J0mX0Segto%252FH4Zk5Tg%253D%253D</v>
      </c>
    </row>
    <row r="5" spans="1:9" x14ac:dyDescent="0.3">
      <c r="A5" s="1" t="s">
        <v>1397</v>
      </c>
      <c r="B5" s="1" t="s">
        <v>1401</v>
      </c>
      <c r="C5" s="1" t="str">
        <f t="shared" si="0"/>
        <v>CNDLC</v>
      </c>
      <c r="D5" s="1" t="str">
        <f t="shared" si="1"/>
        <v>TRIST</v>
      </c>
      <c r="E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https://www.weiyun001.com/routePort?st=ngJ9pZF1dUQkTJV1KSwmlw%253D%253D&amp;de=CWZLcxB%252BS05YPBCXZF1ZGg%253D%253D&amp;rg=ngJ9pZF1dUQkTJV1KSwmlw%253D%253D&amp;rt=OWZDyLmv3WGtVP7oMbti8g%253D%253D</v>
      </c>
      <c r="F5" s="1" t="str">
        <f>VLOOKUP(Port_Optimization_001[[#This Row],[POL CODE]],POL!F:H,2,0)</f>
        <v>ngJ9pZF1dUQkTJV1KSwmlw%253D%253D</v>
      </c>
      <c r="G5" s="1" t="str">
        <f>_xlfn.IFNA(VLOOKUP(Port_Optimization_001[[#This Row],[POD CODE]],POD!F:H,2,0),"")</f>
        <v>CWZLcxB%252BS05YPBCXZF1ZGg%253D%253D</v>
      </c>
      <c r="H5" s="1" t="str">
        <f>VLOOKUP(Port_Optimization_001[[#This Row],[POL CODE]],POL!F:H,3,0)</f>
        <v>ngJ9pZF1dUQkTJV1KSwmlw%253D%253D</v>
      </c>
      <c r="I5" s="1" t="str">
        <f>_xlfn.IFNA(VLOOKUP(Port_Optimization_001[[#This Row],[POD CODE]],POD!F:H,3,0),"")</f>
        <v>OWZDyLmv3WGtVP7oMbti8g%253D%253D</v>
      </c>
    </row>
    <row r="6" spans="1:9" x14ac:dyDescent="0.3">
      <c r="A6" s="1" t="s">
        <v>1397</v>
      </c>
      <c r="B6" s="1" t="s">
        <v>1402</v>
      </c>
      <c r="C6" s="1" t="str">
        <f t="shared" si="0"/>
        <v>CNDLC</v>
      </c>
      <c r="D6" s="1" t="str">
        <f t="shared" si="1"/>
        <v>INNSA</v>
      </c>
      <c r="E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https://www.weiyun001.com/routePort?st=ngJ9pZF1dUQkTJV1KSwmlw%253D%253D&amp;de=jD0OvY0B6WYFRxQO7kBFtg%253D%253D&amp;rg=ngJ9pZF1dUQkTJV1KSwmlw%253D%253D&amp;rt=ZY9R0ulrUtfklWEEetRGPg%253D%253D</v>
      </c>
      <c r="F6" s="1" t="str">
        <f>VLOOKUP(Port_Optimization_001[[#This Row],[POL CODE]],POL!F:H,2,0)</f>
        <v>ngJ9pZF1dUQkTJV1KSwmlw%253D%253D</v>
      </c>
      <c r="G6" s="1" t="str">
        <f>_xlfn.IFNA(VLOOKUP(Port_Optimization_001[[#This Row],[POD CODE]],POD!F:H,2,0),"")</f>
        <v>jD0OvY0B6WYFRxQO7kBFtg%253D%253D</v>
      </c>
      <c r="H6" s="1" t="str">
        <f>VLOOKUP(Port_Optimization_001[[#This Row],[POL CODE]],POL!F:H,3,0)</f>
        <v>ngJ9pZF1dUQkTJV1KSwmlw%253D%253D</v>
      </c>
      <c r="I6" s="1" t="str">
        <f>_xlfn.IFNA(VLOOKUP(Port_Optimization_001[[#This Row],[POD CODE]],POD!F:H,3,0),"")</f>
        <v>ZY9R0ulrUtfklWEEetRGPg%253D%253D</v>
      </c>
    </row>
    <row r="7" spans="1:9" x14ac:dyDescent="0.3">
      <c r="A7" s="1" t="s">
        <v>1397</v>
      </c>
      <c r="B7" s="1" t="s">
        <v>1403</v>
      </c>
      <c r="C7" s="1" t="str">
        <f t="shared" si="0"/>
        <v>CNDLC</v>
      </c>
      <c r="D7" s="1" t="str">
        <f t="shared" si="1"/>
        <v>AEJEA</v>
      </c>
      <c r="E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https://www.weiyun001.com/routePort?st=ngJ9pZF1dUQkTJV1KSwmlw%253D%253D&amp;de=SbjTwb99PCeDQHDeZwEvvA%253D%253D&amp;rg=ngJ9pZF1dUQkTJV1KSwmlw%253D%253D&amp;rt=nIJ3Uyv%252Bm7qB2PS5QvkN1A%253D%253D</v>
      </c>
      <c r="F7" s="1" t="str">
        <f>VLOOKUP(Port_Optimization_001[[#This Row],[POL CODE]],POL!F:H,2,0)</f>
        <v>ngJ9pZF1dUQkTJV1KSwmlw%253D%253D</v>
      </c>
      <c r="G7" s="1" t="str">
        <f>_xlfn.IFNA(VLOOKUP(Port_Optimization_001[[#This Row],[POD CODE]],POD!F:H,2,0),"")</f>
        <v>SbjTwb99PCeDQHDeZwEvvA%253D%253D</v>
      </c>
      <c r="H7" s="1" t="str">
        <f>VLOOKUP(Port_Optimization_001[[#This Row],[POL CODE]],POL!F:H,3,0)</f>
        <v>ngJ9pZF1dUQkTJV1KSwmlw%253D%253D</v>
      </c>
      <c r="I7" s="1" t="str">
        <f>_xlfn.IFNA(VLOOKUP(Port_Optimization_001[[#This Row],[POD CODE]],POD!F:H,3,0),"")</f>
        <v>nIJ3Uyv%252Bm7qB2PS5QvkN1A%253D%253D</v>
      </c>
    </row>
    <row r="8" spans="1:9" x14ac:dyDescent="0.3">
      <c r="A8" s="1" t="s">
        <v>1397</v>
      </c>
      <c r="B8" s="1" t="s">
        <v>1404</v>
      </c>
      <c r="C8" s="1" t="str">
        <f t="shared" si="0"/>
        <v>CNDLC</v>
      </c>
      <c r="D8" s="1" t="str">
        <f t="shared" si="1"/>
        <v>VNSGN</v>
      </c>
      <c r="E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https://www.weiyun001.com/routePort?st=ngJ9pZF1dUQkTJV1KSwmlw%253D%253D&amp;de=CVigZ03WwsIi3M4cUzX1IA%253D%253D&amp;rg=ngJ9pZF1dUQkTJV1KSwmlw%253D%253D&amp;rt=NFL9cTznAaa4CBynkPs%252B6Q%253D%253D</v>
      </c>
      <c r="F8" s="1" t="str">
        <f>VLOOKUP(Port_Optimization_001[[#This Row],[POL CODE]],POL!F:H,2,0)</f>
        <v>ngJ9pZF1dUQkTJV1KSwmlw%253D%253D</v>
      </c>
      <c r="G8" s="1" t="str">
        <f>_xlfn.IFNA(VLOOKUP(Port_Optimization_001[[#This Row],[POD CODE]],POD!F:H,2,0),"")</f>
        <v>CVigZ03WwsIi3M4cUzX1IA%253D%253D</v>
      </c>
      <c r="H8" s="1" t="str">
        <f>VLOOKUP(Port_Optimization_001[[#This Row],[POL CODE]],POL!F:H,3,0)</f>
        <v>ngJ9pZF1dUQkTJV1KSwmlw%253D%253D</v>
      </c>
      <c r="I8" s="1" t="str">
        <f>_xlfn.IFNA(VLOOKUP(Port_Optimization_001[[#This Row],[POD CODE]],POD!F:H,3,0),"")</f>
        <v>NFL9cTznAaa4CBynkPs%252B6Q%253D%253D</v>
      </c>
    </row>
    <row r="9" spans="1:9" x14ac:dyDescent="0.3">
      <c r="A9" s="1" t="s">
        <v>1397</v>
      </c>
      <c r="B9" s="1" t="s">
        <v>1405</v>
      </c>
      <c r="C9" s="1" t="str">
        <f t="shared" si="0"/>
        <v>CNDLC</v>
      </c>
      <c r="D9" s="1" t="str">
        <f t="shared" si="1"/>
        <v>PHMNL</v>
      </c>
      <c r="E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https://www.weiyun001.com/routePort?st=ngJ9pZF1dUQkTJV1KSwmlw%253D%253D&amp;de=uYYEeJiaA%252BEFqhyuOo%252FKJg%253D%253D&amp;rg=ngJ9pZF1dUQkTJV1KSwmlw%253D%253D&amp;rt=1Cobu6af7PO5k9VHay4j%252Bg%253D%253D</v>
      </c>
      <c r="F9" s="1" t="str">
        <f>VLOOKUP(Port_Optimization_001[[#This Row],[POL CODE]],POL!F:H,2,0)</f>
        <v>ngJ9pZF1dUQkTJV1KSwmlw%253D%253D</v>
      </c>
      <c r="G9" s="1" t="str">
        <f>_xlfn.IFNA(VLOOKUP(Port_Optimization_001[[#This Row],[POD CODE]],POD!F:H,2,0),"")</f>
        <v>uYYEeJiaA%252BEFqhyuOo%252FKJg%253D%253D</v>
      </c>
      <c r="H9" s="1" t="str">
        <f>VLOOKUP(Port_Optimization_001[[#This Row],[POL CODE]],POL!F:H,3,0)</f>
        <v>ngJ9pZF1dUQkTJV1KSwmlw%253D%253D</v>
      </c>
      <c r="I9" s="1" t="str">
        <f>_xlfn.IFNA(VLOOKUP(Port_Optimization_001[[#This Row],[POD CODE]],POD!F:H,3,0),"")</f>
        <v>1Cobu6af7PO5k9VHay4j%252Bg%253D%253D</v>
      </c>
    </row>
    <row r="10" spans="1:9" x14ac:dyDescent="0.3">
      <c r="A10" s="1" t="s">
        <v>1397</v>
      </c>
      <c r="B10" s="1" t="s">
        <v>1406</v>
      </c>
      <c r="C10" s="1" t="str">
        <f t="shared" si="0"/>
        <v>CNDLC</v>
      </c>
      <c r="D10" s="1" t="str">
        <f t="shared" si="1"/>
        <v>IDJKT</v>
      </c>
      <c r="E1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https://www.weiyun001.com/routePort?st=ngJ9pZF1dUQkTJV1KSwmlw%253D%253D&amp;de=ffFYXkaqrPSmqfQq9H1AYQ%253D%253D&amp;rg=ngJ9pZF1dUQkTJV1KSwmlw%253D%253D&amp;rt=1Cobu6af7PO5k9VHay4j%252Bg%253D%253D</v>
      </c>
      <c r="F10" s="1" t="str">
        <f>VLOOKUP(Port_Optimization_001[[#This Row],[POL CODE]],POL!F:H,2,0)</f>
        <v>ngJ9pZF1dUQkTJV1KSwmlw%253D%253D</v>
      </c>
      <c r="G10" s="1" t="str">
        <f>_xlfn.IFNA(VLOOKUP(Port_Optimization_001[[#This Row],[POD CODE]],POD!F:H,2,0),"")</f>
        <v>ffFYXkaqrPSmqfQq9H1AYQ%253D%253D</v>
      </c>
      <c r="H10" s="1" t="str">
        <f>VLOOKUP(Port_Optimization_001[[#This Row],[POL CODE]],POL!F:H,3,0)</f>
        <v>ngJ9pZF1dUQkTJV1KSwmlw%253D%253D</v>
      </c>
      <c r="I10" s="1" t="str">
        <f>_xlfn.IFNA(VLOOKUP(Port_Optimization_001[[#This Row],[POD CODE]],POD!F:H,3,0),"")</f>
        <v>1Cobu6af7PO5k9VHay4j%252Bg%253D%253D</v>
      </c>
    </row>
    <row r="11" spans="1:9" x14ac:dyDescent="0.3">
      <c r="A11" s="1" t="s">
        <v>1397</v>
      </c>
      <c r="B11" s="1" t="s">
        <v>1407</v>
      </c>
      <c r="C11" s="1" t="str">
        <f t="shared" si="0"/>
        <v>CNDLC</v>
      </c>
      <c r="D11" s="1" t="str">
        <f t="shared" si="1"/>
        <v>VNHPH</v>
      </c>
      <c r="E1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https://www.weiyun001.com/routePort?st=ngJ9pZF1dUQkTJV1KSwmlw%253D%253D&amp;de=fJ71EUPe75vnyZvJ9cGHxg%253D%253D&amp;rg=ngJ9pZF1dUQkTJV1KSwmlw%253D%253D&amp;rt=NFL9cTznAaa4CBynkPs%252B6Q%253D%253D</v>
      </c>
      <c r="F11" s="1" t="str">
        <f>VLOOKUP(Port_Optimization_001[[#This Row],[POL CODE]],POL!F:H,2,0)</f>
        <v>ngJ9pZF1dUQkTJV1KSwmlw%253D%253D</v>
      </c>
      <c r="G11" s="1" t="str">
        <f>_xlfn.IFNA(VLOOKUP(Port_Optimization_001[[#This Row],[POD CODE]],POD!F:H,2,0),"")</f>
        <v>fJ71EUPe75vnyZvJ9cGHxg%253D%253D</v>
      </c>
      <c r="H11" s="1" t="str">
        <f>VLOOKUP(Port_Optimization_001[[#This Row],[POL CODE]],POL!F:H,3,0)</f>
        <v>ngJ9pZF1dUQkTJV1KSwmlw%253D%253D</v>
      </c>
      <c r="I11" s="1" t="str">
        <f>_xlfn.IFNA(VLOOKUP(Port_Optimization_001[[#This Row],[POD CODE]],POD!F:H,3,0),"")</f>
        <v>NFL9cTznAaa4CBynkPs%252B6Q%253D%253D</v>
      </c>
    </row>
    <row r="12" spans="1:9" x14ac:dyDescent="0.3">
      <c r="A12" s="1" t="s">
        <v>1397</v>
      </c>
      <c r="B12" s="1" t="s">
        <v>1408</v>
      </c>
      <c r="C12" s="1" t="str">
        <f t="shared" si="0"/>
        <v>CNDLC</v>
      </c>
      <c r="D12" s="1" t="str">
        <f t="shared" si="1"/>
        <v>THLCH</v>
      </c>
      <c r="E1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https://www.weiyun001.com/routePort?st=ngJ9pZF1dUQkTJV1KSwmlw%253D%253D&amp;de=OxmUlXWM%252FAUYd%252FPp1zlwDA%253D%253D&amp;rg=ngJ9pZF1dUQkTJV1KSwmlw%253D%253D&amp;rt=NFL9cTznAaa4CBynkPs%252B6Q%253D%253D</v>
      </c>
      <c r="F12" s="1" t="str">
        <f>VLOOKUP(Port_Optimization_001[[#This Row],[POL CODE]],POL!F:H,2,0)</f>
        <v>ngJ9pZF1dUQkTJV1KSwmlw%253D%253D</v>
      </c>
      <c r="G12" s="1" t="str">
        <f>_xlfn.IFNA(VLOOKUP(Port_Optimization_001[[#This Row],[POD CODE]],POD!F:H,2,0),"")</f>
        <v>OxmUlXWM%252FAUYd%252FPp1zlwDA%253D%253D</v>
      </c>
      <c r="H12" s="1" t="str">
        <f>VLOOKUP(Port_Optimization_001[[#This Row],[POL CODE]],POL!F:H,3,0)</f>
        <v>ngJ9pZF1dUQkTJV1KSwmlw%253D%253D</v>
      </c>
      <c r="I12" s="1" t="str">
        <f>_xlfn.IFNA(VLOOKUP(Port_Optimization_001[[#This Row],[POD CODE]],POD!F:H,3,0),"")</f>
        <v>NFL9cTznAaa4CBynkPs%252B6Q%253D%253D</v>
      </c>
    </row>
    <row r="13" spans="1:9" x14ac:dyDescent="0.3">
      <c r="A13" s="1" t="s">
        <v>1397</v>
      </c>
      <c r="B13" s="1" t="s">
        <v>1409</v>
      </c>
      <c r="C13" s="1" t="str">
        <f t="shared" si="0"/>
        <v>CNDLC</v>
      </c>
      <c r="D13" s="1" t="str">
        <f t="shared" si="1"/>
        <v>MYTPP</v>
      </c>
      <c r="E1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https://www.weiyun001.com/routePort?st=ngJ9pZF1dUQkTJV1KSwmlw%253D%253D&amp;de=Zfdwz371n2fV4bpx64twzQ%253D%253D&amp;rg=ngJ9pZF1dUQkTJV1KSwmlw%253D%253D&amp;rt=NFL9cTznAaa4CBynkPs%252B6Q%253D%253D</v>
      </c>
      <c r="F13" s="1" t="str">
        <f>VLOOKUP(Port_Optimization_001[[#This Row],[POL CODE]],POL!F:H,2,0)</f>
        <v>ngJ9pZF1dUQkTJV1KSwmlw%253D%253D</v>
      </c>
      <c r="G13" s="1" t="str">
        <f>_xlfn.IFNA(VLOOKUP(Port_Optimization_001[[#This Row],[POD CODE]],POD!F:H,2,0),"")</f>
        <v>Zfdwz371n2fV4bpx64twzQ%253D%253D</v>
      </c>
      <c r="H13" s="1" t="str">
        <f>VLOOKUP(Port_Optimization_001[[#This Row],[POL CODE]],POL!F:H,3,0)</f>
        <v>ngJ9pZF1dUQkTJV1KSwmlw%253D%253D</v>
      </c>
      <c r="I13" s="1" t="str">
        <f>_xlfn.IFNA(VLOOKUP(Port_Optimization_001[[#This Row],[POD CODE]],POD!F:H,3,0),"")</f>
        <v>NFL9cTznAaa4CBynkPs%252B6Q%253D%253D</v>
      </c>
    </row>
    <row r="14" spans="1:9" x14ac:dyDescent="0.3">
      <c r="A14" s="1" t="s">
        <v>1397</v>
      </c>
      <c r="B14" s="1" t="s">
        <v>1410</v>
      </c>
      <c r="C14" s="1" t="str">
        <f t="shared" si="0"/>
        <v>CNDLC</v>
      </c>
      <c r="D14" s="1" t="str">
        <f t="shared" si="1"/>
        <v>IDSUB</v>
      </c>
      <c r="E1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https://www.weiyun001.com/routePort?st=ngJ9pZF1dUQkTJV1KSwmlw%253D%253D&amp;de=HlaejIbbmrtywbtr93rj1w%253D%253D&amp;rg=ngJ9pZF1dUQkTJV1KSwmlw%253D%253D&amp;rt=1Cobu6af7PO5k9VHay4j%252Bg%253D%253D</v>
      </c>
      <c r="F14" s="1" t="str">
        <f>VLOOKUP(Port_Optimization_001[[#This Row],[POL CODE]],POL!F:H,2,0)</f>
        <v>ngJ9pZF1dUQkTJV1KSwmlw%253D%253D</v>
      </c>
      <c r="G14" s="1" t="str">
        <f>_xlfn.IFNA(VLOOKUP(Port_Optimization_001[[#This Row],[POD CODE]],POD!F:H,2,0),"")</f>
        <v>HlaejIbbmrtywbtr93rj1w%253D%253D</v>
      </c>
      <c r="H14" s="1" t="str">
        <f>VLOOKUP(Port_Optimization_001[[#This Row],[POL CODE]],POL!F:H,3,0)</f>
        <v>ngJ9pZF1dUQkTJV1KSwmlw%253D%253D</v>
      </c>
      <c r="I14" s="1" t="str">
        <f>_xlfn.IFNA(VLOOKUP(Port_Optimization_001[[#This Row],[POD CODE]],POD!F:H,3,0),"")</f>
        <v>1Cobu6af7PO5k9VHay4j%252Bg%253D%253D</v>
      </c>
    </row>
    <row r="15" spans="1:9" x14ac:dyDescent="0.3">
      <c r="A15" s="1" t="s">
        <v>1397</v>
      </c>
      <c r="B15" s="1" t="s">
        <v>1411</v>
      </c>
      <c r="C15" s="1" t="str">
        <f t="shared" si="0"/>
        <v>CNDLC</v>
      </c>
      <c r="D15" s="1" t="str">
        <f t="shared" si="1"/>
        <v>SGSIN</v>
      </c>
      <c r="E1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https://www.weiyun001.com/routePort?st=ngJ9pZF1dUQkTJV1KSwmlw%253D%253D&amp;de=YqmvNL3mswajMEBG16hT2A%253D%253D&amp;rg=ngJ9pZF1dUQkTJV1KSwmlw%253D%253D&amp;rt=NFL9cTznAaa4CBynkPs%252B6Q%253D%253D</v>
      </c>
      <c r="F15" s="1" t="str">
        <f>VLOOKUP(Port_Optimization_001[[#This Row],[POL CODE]],POL!F:H,2,0)</f>
        <v>ngJ9pZF1dUQkTJV1KSwmlw%253D%253D</v>
      </c>
      <c r="G15" s="1" t="str">
        <f>_xlfn.IFNA(VLOOKUP(Port_Optimization_001[[#This Row],[POD CODE]],POD!F:H,2,0),"")</f>
        <v>YqmvNL3mswajMEBG16hT2A%253D%253D</v>
      </c>
      <c r="H15" s="1" t="str">
        <f>VLOOKUP(Port_Optimization_001[[#This Row],[POL CODE]],POL!F:H,3,0)</f>
        <v>ngJ9pZF1dUQkTJV1KSwmlw%253D%253D</v>
      </c>
      <c r="I15" s="1" t="str">
        <f>_xlfn.IFNA(VLOOKUP(Port_Optimization_001[[#This Row],[POD CODE]],POD!F:H,3,0),"")</f>
        <v>NFL9cTznAaa4CBynkPs%252B6Q%253D%253D</v>
      </c>
    </row>
    <row r="16" spans="1:9" x14ac:dyDescent="0.3">
      <c r="A16" s="1" t="s">
        <v>1397</v>
      </c>
      <c r="B16" s="1" t="s">
        <v>1412</v>
      </c>
      <c r="C16" s="1" t="str">
        <f t="shared" si="0"/>
        <v>CNDLC</v>
      </c>
      <c r="D16" s="1" t="str">
        <f t="shared" si="1"/>
        <v>KHKOS</v>
      </c>
      <c r="E1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https://www.weiyun001.com/routePort?st=ngJ9pZF1dUQkTJV1KSwmlw%253D%253D&amp;de=EVsBMZX0DHq4aZyn1LHQog%253D%253D&amp;rg=ngJ9pZF1dUQkTJV1KSwmlw%253D%253D&amp;rt=NFL9cTznAaa4CBynkPs%252B6Q%253D%253D</v>
      </c>
      <c r="F16" s="1" t="str">
        <f>VLOOKUP(Port_Optimization_001[[#This Row],[POL CODE]],POL!F:H,2,0)</f>
        <v>ngJ9pZF1dUQkTJV1KSwmlw%253D%253D</v>
      </c>
      <c r="G16" s="1" t="str">
        <f>_xlfn.IFNA(VLOOKUP(Port_Optimization_001[[#This Row],[POD CODE]],POD!F:H,2,0),"")</f>
        <v>EVsBMZX0DHq4aZyn1LHQog%253D%253D</v>
      </c>
      <c r="H16" s="1" t="str">
        <f>VLOOKUP(Port_Optimization_001[[#This Row],[POL CODE]],POL!F:H,3,0)</f>
        <v>ngJ9pZF1dUQkTJV1KSwmlw%253D%253D</v>
      </c>
      <c r="I16" s="1" t="str">
        <f>_xlfn.IFNA(VLOOKUP(Port_Optimization_001[[#This Row],[POD CODE]],POD!F:H,3,0),"")</f>
        <v>NFL9cTznAaa4CBynkPs%252B6Q%253D%253D</v>
      </c>
    </row>
    <row r="17" spans="1:9" x14ac:dyDescent="0.3">
      <c r="A17" s="1" t="s">
        <v>1397</v>
      </c>
      <c r="B17" s="1" t="s">
        <v>1413</v>
      </c>
      <c r="C17" s="1" t="str">
        <f t="shared" si="0"/>
        <v>CNDLC</v>
      </c>
      <c r="D17" s="1" t="str">
        <f t="shared" si="1"/>
        <v>PHDVO</v>
      </c>
      <c r="E1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https://www.weiyun001.com/routePort?st=ngJ9pZF1dUQkTJV1KSwmlw%253D%253D&amp;de=HztwdcvWfyObYMSuS7M4Vg%253D%253D&amp;rg=ngJ9pZF1dUQkTJV1KSwmlw%253D%253D&amp;rt=1Cobu6af7PO5k9VHay4j%252Bg%253D%253D</v>
      </c>
      <c r="F17" s="1" t="str">
        <f>VLOOKUP(Port_Optimization_001[[#This Row],[POL CODE]],POL!F:H,2,0)</f>
        <v>ngJ9pZF1dUQkTJV1KSwmlw%253D%253D</v>
      </c>
      <c r="G17" s="1" t="str">
        <f>_xlfn.IFNA(VLOOKUP(Port_Optimization_001[[#This Row],[POD CODE]],POD!F:H,2,0),"")</f>
        <v>HztwdcvWfyObYMSuS7M4Vg%253D%253D</v>
      </c>
      <c r="H17" s="1" t="str">
        <f>VLOOKUP(Port_Optimization_001[[#This Row],[POL CODE]],POL!F:H,3,0)</f>
        <v>ngJ9pZF1dUQkTJV1KSwmlw%253D%253D</v>
      </c>
      <c r="I17" s="1" t="str">
        <f>_xlfn.IFNA(VLOOKUP(Port_Optimization_001[[#This Row],[POD CODE]],POD!F:H,3,0),"")</f>
        <v>1Cobu6af7PO5k9VHay4j%252Bg%253D%253D</v>
      </c>
    </row>
    <row r="18" spans="1:9" x14ac:dyDescent="0.3">
      <c r="A18" s="1" t="s">
        <v>1397</v>
      </c>
      <c r="B18" s="1" t="s">
        <v>1414</v>
      </c>
      <c r="C18" s="1" t="str">
        <f t="shared" si="0"/>
        <v>CNDLC</v>
      </c>
      <c r="D18" s="1" t="str">
        <f t="shared" si="1"/>
        <v>MYPGU</v>
      </c>
      <c r="E1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https://www.weiyun001.com/routePort?st=ngJ9pZF1dUQkTJV1KSwmlw%253D%253D&amp;de=ANDy0tuuXA3bR0I4F4vWhg%253D%253D&amp;rg=ngJ9pZF1dUQkTJV1KSwmlw%253D%253D&amp;rt=NFL9cTznAaa4CBynkPs%252B6Q%253D%253D</v>
      </c>
      <c r="F18" s="1" t="str">
        <f>VLOOKUP(Port_Optimization_001[[#This Row],[POL CODE]],POL!F:H,2,0)</f>
        <v>ngJ9pZF1dUQkTJV1KSwmlw%253D%253D</v>
      </c>
      <c r="G18" s="1" t="str">
        <f>_xlfn.IFNA(VLOOKUP(Port_Optimization_001[[#This Row],[POD CODE]],POD!F:H,2,0),"")</f>
        <v>ANDy0tuuXA3bR0I4F4vWhg%253D%253D</v>
      </c>
      <c r="H18" s="1" t="str">
        <f>VLOOKUP(Port_Optimization_001[[#This Row],[POL CODE]],POL!F:H,3,0)</f>
        <v>ngJ9pZF1dUQkTJV1KSwmlw%253D%253D</v>
      </c>
      <c r="I18" s="1" t="str">
        <f>_xlfn.IFNA(VLOOKUP(Port_Optimization_001[[#This Row],[POD CODE]],POD!F:H,3,0),"")</f>
        <v>NFL9cTznAaa4CBynkPs%252B6Q%253D%253D</v>
      </c>
    </row>
    <row r="19" spans="1:9" x14ac:dyDescent="0.3">
      <c r="A19" s="1" t="s">
        <v>1397</v>
      </c>
      <c r="B19" s="1" t="s">
        <v>1415</v>
      </c>
      <c r="C19" s="1" t="str">
        <f t="shared" si="0"/>
        <v>CNDLC</v>
      </c>
      <c r="D19" s="1" t="str">
        <f t="shared" si="1"/>
        <v>MYPKG</v>
      </c>
      <c r="E1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https://www.weiyun001.com/routePort?st=ngJ9pZF1dUQkTJV1KSwmlw%253D%253D&amp;de=2WJxBRbU754HNWDDwVsKgQ%253D%253D&amp;rg=ngJ9pZF1dUQkTJV1KSwmlw%253D%253D&amp;rt=NFL9cTznAaa4CBynkPs%252B6Q%253D%253D</v>
      </c>
      <c r="F19" s="1" t="str">
        <f>VLOOKUP(Port_Optimization_001[[#This Row],[POL CODE]],POL!F:H,2,0)</f>
        <v>ngJ9pZF1dUQkTJV1KSwmlw%253D%253D</v>
      </c>
      <c r="G19" s="1" t="str">
        <f>_xlfn.IFNA(VLOOKUP(Port_Optimization_001[[#This Row],[POD CODE]],POD!F:H,2,0),"")</f>
        <v>2WJxBRbU754HNWDDwVsKgQ%253D%253D</v>
      </c>
      <c r="H19" s="1" t="str">
        <f>VLOOKUP(Port_Optimization_001[[#This Row],[POL CODE]],POL!F:H,3,0)</f>
        <v>ngJ9pZF1dUQkTJV1KSwmlw%253D%253D</v>
      </c>
      <c r="I19" s="1" t="str">
        <f>_xlfn.IFNA(VLOOKUP(Port_Optimization_001[[#This Row],[POD CODE]],POD!F:H,3,0),"")</f>
        <v>NFL9cTznAaa4CBynkPs%252B6Q%253D%253D</v>
      </c>
    </row>
    <row r="20" spans="1:9" x14ac:dyDescent="0.3">
      <c r="A20" s="1" t="s">
        <v>1397</v>
      </c>
      <c r="B20" s="1" t="s">
        <v>1416</v>
      </c>
      <c r="C20" s="1" t="str">
        <f t="shared" si="0"/>
        <v>CNDLC</v>
      </c>
      <c r="D20" s="1" t="str">
        <f t="shared" si="1"/>
        <v>HKHKG</v>
      </c>
      <c r="E2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https://www.weiyun001.com/routePort?st=ngJ9pZF1dUQkTJV1KSwmlw%253D%253D&amp;de=vMzSod%252BtWz6%252F7wRCS6eQNA%253D%253D&amp;rg=ngJ9pZF1dUQkTJV1KSwmlw%253D%253D&amp;rt=Sf%252FJBtcqkoI65Fe6qmiQsA%253D%253D</v>
      </c>
      <c r="F20" s="1" t="str">
        <f>VLOOKUP(Port_Optimization_001[[#This Row],[POL CODE]],POL!F:H,2,0)</f>
        <v>ngJ9pZF1dUQkTJV1KSwmlw%253D%253D</v>
      </c>
      <c r="G20" s="1" t="str">
        <f>_xlfn.IFNA(VLOOKUP(Port_Optimization_001[[#This Row],[POD CODE]],POD!F:H,2,0),"")</f>
        <v>vMzSod%252BtWz6%252F7wRCS6eQNA%253D%253D</v>
      </c>
      <c r="H20" s="1" t="str">
        <f>VLOOKUP(Port_Optimization_001[[#This Row],[POL CODE]],POL!F:H,3,0)</f>
        <v>ngJ9pZF1dUQkTJV1KSwmlw%253D%253D</v>
      </c>
      <c r="I20" s="1" t="str">
        <f>_xlfn.IFNA(VLOOKUP(Port_Optimization_001[[#This Row],[POD CODE]],POD!F:H,3,0),"")</f>
        <v>Sf%252FJBtcqkoI65Fe6qmiQsA%253D%253D</v>
      </c>
    </row>
    <row r="21" spans="1:9" x14ac:dyDescent="0.3">
      <c r="A21" s="1" t="s">
        <v>1397</v>
      </c>
      <c r="B21" s="1" t="s">
        <v>1417</v>
      </c>
      <c r="C21" s="1" t="str">
        <f t="shared" si="0"/>
        <v>CNDLC</v>
      </c>
      <c r="D21" s="1" t="str">
        <f t="shared" si="1"/>
        <v>KRPUS</v>
      </c>
      <c r="E2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https://www.weiyun001.com/routePort?st=ngJ9pZF1dUQkTJV1KSwmlw%253D%253D&amp;de=8pLSQnjoVis1CMK2AzkKQA%253D%253D&amp;rg=ngJ9pZF1dUQkTJV1KSwmlw%253D%253D&amp;rt=KylH8Pr1ynXpbeNIUggL%252FQ%253D%253D</v>
      </c>
      <c r="F21" s="1" t="str">
        <f>VLOOKUP(Port_Optimization_001[[#This Row],[POL CODE]],POL!F:H,2,0)</f>
        <v>ngJ9pZF1dUQkTJV1KSwmlw%253D%253D</v>
      </c>
      <c r="G21" s="1" t="str">
        <f>_xlfn.IFNA(VLOOKUP(Port_Optimization_001[[#This Row],[POD CODE]],POD!F:H,2,0),"")</f>
        <v>8pLSQnjoVis1CMK2AzkKQA%253D%253D</v>
      </c>
      <c r="H21" s="1" t="str">
        <f>VLOOKUP(Port_Optimization_001[[#This Row],[POL CODE]],POL!F:H,3,0)</f>
        <v>ngJ9pZF1dUQkTJV1KSwmlw%253D%253D</v>
      </c>
      <c r="I21" s="1" t="str">
        <f>_xlfn.IFNA(VLOOKUP(Port_Optimization_001[[#This Row],[POD CODE]],POD!F:H,3,0),"")</f>
        <v>KylH8Pr1ynXpbeNIUggL%252FQ%253D%253D</v>
      </c>
    </row>
    <row r="22" spans="1:9" x14ac:dyDescent="0.3">
      <c r="A22" s="1" t="s">
        <v>1397</v>
      </c>
      <c r="B22" s="1" t="s">
        <v>1418</v>
      </c>
      <c r="C22" s="1" t="str">
        <f t="shared" si="0"/>
        <v>CNDLC</v>
      </c>
      <c r="D22" s="1" t="str">
        <f t="shared" si="1"/>
        <v>JPYOK</v>
      </c>
      <c r="E2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https://www.weiyun001.com/routePort?st=ngJ9pZF1dUQkTJV1KSwmlw%253D%253D&amp;de=avzQ%252FxXt%252BKfrK6vIvt59QA%253D%253D&amp;rg=ngJ9pZF1dUQkTJV1KSwmlw%253D%253D&amp;rt=RHiB9uH2veEacXFy%252F4no2w%253D%253D</v>
      </c>
      <c r="F22" s="1" t="str">
        <f>VLOOKUP(Port_Optimization_001[[#This Row],[POL CODE]],POL!F:H,2,0)</f>
        <v>ngJ9pZF1dUQkTJV1KSwmlw%253D%253D</v>
      </c>
      <c r="G22" s="1" t="str">
        <f>_xlfn.IFNA(VLOOKUP(Port_Optimization_001[[#This Row],[POD CODE]],POD!F:H,2,0),"")</f>
        <v>avzQ%252FxXt%252BKfrK6vIvt59QA%253D%253D</v>
      </c>
      <c r="H22" s="1" t="str">
        <f>VLOOKUP(Port_Optimization_001[[#This Row],[POL CODE]],POL!F:H,3,0)</f>
        <v>ngJ9pZF1dUQkTJV1KSwmlw%253D%253D</v>
      </c>
      <c r="I22" s="1" t="str">
        <f>_xlfn.IFNA(VLOOKUP(Port_Optimization_001[[#This Row],[POD CODE]],POD!F:H,3,0),"")</f>
        <v>RHiB9uH2veEacXFy%252F4no2w%253D%253D</v>
      </c>
    </row>
    <row r="23" spans="1:9" x14ac:dyDescent="0.3">
      <c r="A23" s="1" t="s">
        <v>1397</v>
      </c>
      <c r="B23" s="1" t="s">
        <v>1419</v>
      </c>
      <c r="C23" s="1" t="str">
        <f t="shared" si="0"/>
        <v>CNDLC</v>
      </c>
      <c r="D23" s="1" t="str">
        <f t="shared" si="1"/>
        <v>JPHTD</v>
      </c>
      <c r="E2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https://www.weiyun001.com/routePort?st=ngJ9pZF1dUQkTJV1KSwmlw%253D%253D&amp;de=SW6Np5wmifEHSbIFC4MFyg%253D%253D&amp;rg=ngJ9pZF1dUQkTJV1KSwmlw%253D%253D&amp;rt=RHiB9uH2veEacXFy%252F4no2w%253D%253D</v>
      </c>
      <c r="F23" s="1" t="str">
        <f>VLOOKUP(Port_Optimization_001[[#This Row],[POL CODE]],POL!F:H,2,0)</f>
        <v>ngJ9pZF1dUQkTJV1KSwmlw%253D%253D</v>
      </c>
      <c r="G23" s="1" t="str">
        <f>_xlfn.IFNA(VLOOKUP(Port_Optimization_001[[#This Row],[POD CODE]],POD!F:H,2,0),"")</f>
        <v>SW6Np5wmifEHSbIFC4MFyg%253D%253D</v>
      </c>
      <c r="H23" s="1" t="str">
        <f>VLOOKUP(Port_Optimization_001[[#This Row],[POL CODE]],POL!F:H,3,0)</f>
        <v>ngJ9pZF1dUQkTJV1KSwmlw%253D%253D</v>
      </c>
      <c r="I23" s="1" t="str">
        <f>_xlfn.IFNA(VLOOKUP(Port_Optimization_001[[#This Row],[POD CODE]],POD!F:H,3,0),"")</f>
        <v>RHiB9uH2veEacXFy%252F4no2w%253D%253D</v>
      </c>
    </row>
    <row r="24" spans="1:9" x14ac:dyDescent="0.3">
      <c r="A24" s="1" t="s">
        <v>1397</v>
      </c>
      <c r="B24" s="1" t="s">
        <v>1420</v>
      </c>
      <c r="C24" s="1" t="str">
        <f t="shared" si="0"/>
        <v>CNDLC</v>
      </c>
      <c r="D24" s="1" t="str">
        <f t="shared" si="1"/>
        <v>KRBNP</v>
      </c>
      <c r="E2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https://www.weiyun001.com/routePort?st=ngJ9pZF1dUQkTJV1KSwmlw%253D%253D&amp;de=hl76VvMJR%252Fhqo%252BAR2bQZUw%253D%253D&amp;rg=ngJ9pZF1dUQkTJV1KSwmlw%253D%253D&amp;rt=KylH8Pr1ynXpbeNIUggL%252FQ%253D%253D</v>
      </c>
      <c r="F24" s="1" t="str">
        <f>VLOOKUP(Port_Optimization_001[[#This Row],[POL CODE]],POL!F:H,2,0)</f>
        <v>ngJ9pZF1dUQkTJV1KSwmlw%253D%253D</v>
      </c>
      <c r="G24" s="1" t="str">
        <f>_xlfn.IFNA(VLOOKUP(Port_Optimization_001[[#This Row],[POD CODE]],POD!F:H,2,0),"")</f>
        <v>hl76VvMJR%252Fhqo%252BAR2bQZUw%253D%253D</v>
      </c>
      <c r="H24" s="1" t="str">
        <f>VLOOKUP(Port_Optimization_001[[#This Row],[POL CODE]],POL!F:H,3,0)</f>
        <v>ngJ9pZF1dUQkTJV1KSwmlw%253D%253D</v>
      </c>
      <c r="I24" s="1" t="str">
        <f>_xlfn.IFNA(VLOOKUP(Port_Optimization_001[[#This Row],[POD CODE]],POD!F:H,3,0),"")</f>
        <v>KylH8Pr1ynXpbeNIUggL%252FQ%253D%253D</v>
      </c>
    </row>
    <row r="25" spans="1:9" x14ac:dyDescent="0.3">
      <c r="A25" s="1" t="s">
        <v>1397</v>
      </c>
      <c r="B25" s="1" t="s">
        <v>1421</v>
      </c>
      <c r="C25" s="1" t="str">
        <f t="shared" si="0"/>
        <v>CNDLC</v>
      </c>
      <c r="D25" s="1" t="str">
        <f t="shared" si="1"/>
        <v>TWKHH</v>
      </c>
      <c r="E2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https://www.weiyun001.com/routePort?st=ngJ9pZF1dUQkTJV1KSwmlw%253D%253D&amp;de=Vjyg7XTarHY%252B0lksvtw%252F7A%253D%253D&amp;rg=ngJ9pZF1dUQkTJV1KSwmlw%253D%253D&amp;rt=Ha4nmfNgPHgKMiB9XpJc%252Bg%253D%253D</v>
      </c>
      <c r="F25" s="1" t="str">
        <f>VLOOKUP(Port_Optimization_001[[#This Row],[POL CODE]],POL!F:H,2,0)</f>
        <v>ngJ9pZF1dUQkTJV1KSwmlw%253D%253D</v>
      </c>
      <c r="G25" s="1" t="str">
        <f>_xlfn.IFNA(VLOOKUP(Port_Optimization_001[[#This Row],[POD CODE]],POD!F:H,2,0),"")</f>
        <v>Vjyg7XTarHY%252B0lksvtw%252F7A%253D%253D</v>
      </c>
      <c r="H25" s="1" t="str">
        <f>VLOOKUP(Port_Optimization_001[[#This Row],[POL CODE]],POL!F:H,3,0)</f>
        <v>ngJ9pZF1dUQkTJV1KSwmlw%253D%253D</v>
      </c>
      <c r="I25" s="1" t="str">
        <f>_xlfn.IFNA(VLOOKUP(Port_Optimization_001[[#This Row],[POD CODE]],POD!F:H,3,0),"")</f>
        <v>Ha4nmfNgPHgKMiB9XpJc%252Bg%253D%253D</v>
      </c>
    </row>
    <row r="26" spans="1:9" x14ac:dyDescent="0.3">
      <c r="A26" s="1" t="s">
        <v>1397</v>
      </c>
      <c r="B26" s="1" t="s">
        <v>1422</v>
      </c>
      <c r="C26" s="1" t="str">
        <f t="shared" si="0"/>
        <v>CNDLC</v>
      </c>
      <c r="D26" s="1" t="str">
        <f t="shared" si="1"/>
        <v>JPSBS</v>
      </c>
      <c r="E2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https://www.weiyun001.com/routePort?st=ngJ9pZF1dUQkTJV1KSwmlw%253D%253D&amp;de=jVV2E8J20Ak8Jot1PMDX7g%253D%253D&amp;rg=ngJ9pZF1dUQkTJV1KSwmlw%253D%253D&amp;rt=8qgsJj9tmT8zECAL0Nsagw%253D%253D</v>
      </c>
      <c r="F26" s="1" t="str">
        <f>VLOOKUP(Port_Optimization_001[[#This Row],[POL CODE]],POL!F:H,2,0)</f>
        <v>ngJ9pZF1dUQkTJV1KSwmlw%253D%253D</v>
      </c>
      <c r="G26" s="1" t="str">
        <f>_xlfn.IFNA(VLOOKUP(Port_Optimization_001[[#This Row],[POD CODE]],POD!F:H,2,0),"")</f>
        <v>jVV2E8J20Ak8Jot1PMDX7g%253D%253D</v>
      </c>
      <c r="H26" s="1" t="str">
        <f>VLOOKUP(Port_Optimization_001[[#This Row],[POL CODE]],POL!F:H,3,0)</f>
        <v>ngJ9pZF1dUQkTJV1KSwmlw%253D%253D</v>
      </c>
      <c r="I26" s="1" t="str">
        <f>_xlfn.IFNA(VLOOKUP(Port_Optimization_001[[#This Row],[POD CODE]],POD!F:H,3,0),"")</f>
        <v>8qgsJj9tmT8zECAL0Nsagw%253D%253D</v>
      </c>
    </row>
    <row r="27" spans="1:9" x14ac:dyDescent="0.3">
      <c r="A27" s="1" t="s">
        <v>1397</v>
      </c>
      <c r="B27" s="1" t="s">
        <v>1423</v>
      </c>
      <c r="C27" s="1" t="str">
        <f t="shared" si="0"/>
        <v>CNDLC</v>
      </c>
      <c r="D27" s="1" t="str">
        <f t="shared" si="1"/>
        <v>JPKIJ</v>
      </c>
      <c r="E2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https://www.weiyun001.com/routePort?st=ngJ9pZF1dUQkTJV1KSwmlw%253D%253D&amp;de=%252BwdvuBlBbZiIH8qQ4%252BBPYA%253D%253D&amp;rg=ngJ9pZF1dUQkTJV1KSwmlw%253D%253D&amp;rt=8qgsJj9tmT8zECAL0Nsagw%253D%253D</v>
      </c>
      <c r="F27" s="1" t="str">
        <f>VLOOKUP(Port_Optimization_001[[#This Row],[POL CODE]],POL!F:H,2,0)</f>
        <v>ngJ9pZF1dUQkTJV1KSwmlw%253D%253D</v>
      </c>
      <c r="G27" s="1" t="str">
        <f>_xlfn.IFNA(VLOOKUP(Port_Optimization_001[[#This Row],[POD CODE]],POD!F:H,2,0),"")</f>
        <v>%252BwdvuBlBbZiIH8qQ4%252BBPYA%253D%253D</v>
      </c>
      <c r="H27" s="1" t="str">
        <f>VLOOKUP(Port_Optimization_001[[#This Row],[POL CODE]],POL!F:H,3,0)</f>
        <v>ngJ9pZF1dUQkTJV1KSwmlw%253D%253D</v>
      </c>
      <c r="I27" s="1" t="str">
        <f>_xlfn.IFNA(VLOOKUP(Port_Optimization_001[[#This Row],[POD CODE]],POD!F:H,3,0),"")</f>
        <v>8qgsJj9tmT8zECAL0Nsagw%253D%253D</v>
      </c>
    </row>
    <row r="28" spans="1:9" x14ac:dyDescent="0.3">
      <c r="A28" s="1" t="s">
        <v>1397</v>
      </c>
      <c r="B28" s="1" t="s">
        <v>1424</v>
      </c>
      <c r="C28" s="1" t="str">
        <f t="shared" si="0"/>
        <v>CNDLC</v>
      </c>
      <c r="D28" s="1" t="str">
        <f t="shared" si="1"/>
        <v>RUVVO</v>
      </c>
      <c r="E2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https://www.weiyun001.com/routePort?st=ngJ9pZF1dUQkTJV1KSwmlw%253D%253D&amp;de=s0PPhkNj1tJW6BNaLsGHUw%253D%253D&amp;rg=ngJ9pZF1dUQkTJV1KSwmlw%253D%253D&amp;rt=r8vdJELtQ6mqgPEUMkhs6w%253D%253D</v>
      </c>
      <c r="F28" s="1" t="str">
        <f>VLOOKUP(Port_Optimization_001[[#This Row],[POL CODE]],POL!F:H,2,0)</f>
        <v>ngJ9pZF1dUQkTJV1KSwmlw%253D%253D</v>
      </c>
      <c r="G28" s="1" t="str">
        <f>_xlfn.IFNA(VLOOKUP(Port_Optimization_001[[#This Row],[POD CODE]],POD!F:H,2,0),"")</f>
        <v>s0PPhkNj1tJW6BNaLsGHUw%253D%253D</v>
      </c>
      <c r="H28" s="1" t="str">
        <f>VLOOKUP(Port_Optimization_001[[#This Row],[POL CODE]],POL!F:H,3,0)</f>
        <v>ngJ9pZF1dUQkTJV1KSwmlw%253D%253D</v>
      </c>
      <c r="I28" s="1" t="str">
        <f>_xlfn.IFNA(VLOOKUP(Port_Optimization_001[[#This Row],[POD CODE]],POD!F:H,3,0),"")</f>
        <v>r8vdJELtQ6mqgPEUMkhs6w%253D%253D</v>
      </c>
    </row>
    <row r="29" spans="1:9" x14ac:dyDescent="0.3">
      <c r="A29" s="1" t="s">
        <v>1397</v>
      </c>
      <c r="B29" s="1" t="s">
        <v>1425</v>
      </c>
      <c r="C29" s="1" t="str">
        <f t="shared" si="0"/>
        <v>CNDLC</v>
      </c>
      <c r="D29" s="1" t="str">
        <f t="shared" si="1"/>
        <v>JPIMI</v>
      </c>
      <c r="E2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https://www.weiyun001.com/routePort?st=ngJ9pZF1dUQkTJV1KSwmlw%253D%253D&amp;de=TRQAybxJZwVsM0rUBE%252Fc2g%253D%253D&amp;rg=ngJ9pZF1dUQkTJV1KSwmlw%253D%253D&amp;rt=8qgsJj9tmT8zECAL0Nsagw%253D%253D</v>
      </c>
      <c r="F29" s="1" t="str">
        <f>VLOOKUP(Port_Optimization_001[[#This Row],[POL CODE]],POL!F:H,2,0)</f>
        <v>ngJ9pZF1dUQkTJV1KSwmlw%253D%253D</v>
      </c>
      <c r="G29" s="1" t="str">
        <f>_xlfn.IFNA(VLOOKUP(Port_Optimization_001[[#This Row],[POD CODE]],POD!F:H,2,0),"")</f>
        <v>TRQAybxJZwVsM0rUBE%252Fc2g%253D%253D</v>
      </c>
      <c r="H29" s="1" t="str">
        <f>VLOOKUP(Port_Optimization_001[[#This Row],[POL CODE]],POL!F:H,3,0)</f>
        <v>ngJ9pZF1dUQkTJV1KSwmlw%253D%253D</v>
      </c>
      <c r="I29" s="1" t="str">
        <f>_xlfn.IFNA(VLOOKUP(Port_Optimization_001[[#This Row],[POD CODE]],POD!F:H,3,0),"")</f>
        <v>8qgsJj9tmT8zECAL0Nsagw%253D%253D</v>
      </c>
    </row>
    <row r="30" spans="1:9" x14ac:dyDescent="0.3">
      <c r="A30" s="1" t="s">
        <v>1397</v>
      </c>
      <c r="B30" s="1" t="s">
        <v>1426</v>
      </c>
      <c r="C30" s="1" t="str">
        <f t="shared" si="0"/>
        <v>CNDLC</v>
      </c>
      <c r="D30" s="1" t="str">
        <f t="shared" si="1"/>
        <v>JPOSA</v>
      </c>
      <c r="E3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https://www.weiyun001.com/routePort?st=ngJ9pZF1dUQkTJV1KSwmlw%253D%253D&amp;de=3agd5gO2ul%252BbrT%252BGjjf0BQ%253D%253D&amp;rg=ngJ9pZF1dUQkTJV1KSwmlw%253D%253D&amp;rt=RHiB9uH2veEacXFy%252F4no2w%253D%253D</v>
      </c>
      <c r="F30" s="1" t="str">
        <f>VLOOKUP(Port_Optimization_001[[#This Row],[POL CODE]],POL!F:H,2,0)</f>
        <v>ngJ9pZF1dUQkTJV1KSwmlw%253D%253D</v>
      </c>
      <c r="G30" s="1" t="str">
        <f>_xlfn.IFNA(VLOOKUP(Port_Optimization_001[[#This Row],[POD CODE]],POD!F:H,2,0),"")</f>
        <v>3agd5gO2ul%252BbrT%252BGjjf0BQ%253D%253D</v>
      </c>
      <c r="H30" s="1" t="str">
        <f>VLOOKUP(Port_Optimization_001[[#This Row],[POL CODE]],POL!F:H,3,0)</f>
        <v>ngJ9pZF1dUQkTJV1KSwmlw%253D%253D</v>
      </c>
      <c r="I30" s="1" t="str">
        <f>_xlfn.IFNA(VLOOKUP(Port_Optimization_001[[#This Row],[POD CODE]],POD!F:H,3,0),"")</f>
        <v>RHiB9uH2veEacXFy%252F4no2w%253D%253D</v>
      </c>
    </row>
    <row r="31" spans="1:9" x14ac:dyDescent="0.3">
      <c r="A31" s="1" t="s">
        <v>1397</v>
      </c>
      <c r="B31" s="1" t="s">
        <v>1427</v>
      </c>
      <c r="C31" s="1" t="str">
        <f t="shared" si="0"/>
        <v>CNDLC</v>
      </c>
      <c r="D31" s="1" t="str">
        <f t="shared" si="1"/>
        <v>KRPTK</v>
      </c>
      <c r="E3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https://www.weiyun001.com/routePort?st=ngJ9pZF1dUQkTJV1KSwmlw%253D%253D&amp;de=Tys%252FnB5n00pQrc%252Fq9NrIJQ%253D%253D&amp;rg=ngJ9pZF1dUQkTJV1KSwmlw%253D%253D&amp;rt=KylH8Pr1ynXpbeNIUggL%252FQ%253D%253D</v>
      </c>
      <c r="F31" s="1" t="str">
        <f>VLOOKUP(Port_Optimization_001[[#This Row],[POL CODE]],POL!F:H,2,0)</f>
        <v>ngJ9pZF1dUQkTJV1KSwmlw%253D%253D</v>
      </c>
      <c r="G31" s="1" t="str">
        <f>_xlfn.IFNA(VLOOKUP(Port_Optimization_001[[#This Row],[POD CODE]],POD!F:H,2,0),"")</f>
        <v>Tys%252FnB5n00pQrc%252Fq9NrIJQ%253D%253D</v>
      </c>
      <c r="H31" s="1" t="str">
        <f>VLOOKUP(Port_Optimization_001[[#This Row],[POL CODE]],POL!F:H,3,0)</f>
        <v>ngJ9pZF1dUQkTJV1KSwmlw%253D%253D</v>
      </c>
      <c r="I31" s="1" t="str">
        <f>_xlfn.IFNA(VLOOKUP(Port_Optimization_001[[#This Row],[POD CODE]],POD!F:H,3,0),"")</f>
        <v>KylH8Pr1ynXpbeNIUggL%252FQ%253D%253D</v>
      </c>
    </row>
    <row r="32" spans="1:9" x14ac:dyDescent="0.3">
      <c r="A32" s="1" t="s">
        <v>1397</v>
      </c>
      <c r="B32" s="1" t="s">
        <v>1428</v>
      </c>
      <c r="C32" s="1" t="str">
        <f t="shared" si="0"/>
        <v>CNDLC</v>
      </c>
      <c r="D32" s="1" t="str">
        <f t="shared" si="1"/>
        <v>RUVYP</v>
      </c>
      <c r="E3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https://www.weiyun001.com/routePort?st=ngJ9pZF1dUQkTJV1KSwmlw%253D%253D&amp;de=KlSWRjDAkivH8De8U2pqPQ%253D%253D&amp;rg=ngJ9pZF1dUQkTJV1KSwmlw%253D%253D&amp;rt=r8vdJELtQ6mqgPEUMkhs6w%253D%253D</v>
      </c>
      <c r="F32" s="1" t="str">
        <f>VLOOKUP(Port_Optimization_001[[#This Row],[POL CODE]],POL!F:H,2,0)</f>
        <v>ngJ9pZF1dUQkTJV1KSwmlw%253D%253D</v>
      </c>
      <c r="G32" s="1" t="str">
        <f>_xlfn.IFNA(VLOOKUP(Port_Optimization_001[[#This Row],[POD CODE]],POD!F:H,2,0),"")</f>
        <v>KlSWRjDAkivH8De8U2pqPQ%253D%253D</v>
      </c>
      <c r="H32" s="1" t="str">
        <f>VLOOKUP(Port_Optimization_001[[#This Row],[POL CODE]],POL!F:H,3,0)</f>
        <v>ngJ9pZF1dUQkTJV1KSwmlw%253D%253D</v>
      </c>
      <c r="I32" s="1" t="str">
        <f>_xlfn.IFNA(VLOOKUP(Port_Optimization_001[[#This Row],[POD CODE]],POD!F:H,3,0),"")</f>
        <v>r8vdJELtQ6mqgPEUMkhs6w%253D%253D</v>
      </c>
    </row>
    <row r="33" spans="1:9" x14ac:dyDescent="0.3">
      <c r="A33" s="1" t="s">
        <v>1429</v>
      </c>
      <c r="B33" s="1" t="s">
        <v>1430</v>
      </c>
      <c r="C33" s="1" t="str">
        <f t="shared" si="0"/>
        <v>CNLYG</v>
      </c>
      <c r="D33" s="1" t="str">
        <f t="shared" si="1"/>
        <v>CAVAN</v>
      </c>
      <c r="E3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https://www.weiyun001.com/routePort?st=VKFjVnvddQPZqnPPLjwhPA%253D%253D&amp;de=1kkaoo2GPISaBR1Jx7dWKw%253D%253D&amp;rg=VKFjVnvddQPZqnPPLjwhPA%253D%253D&amp;rt=ngG2%252FjG4NlHb5ZGdAHVP4g%253D%253D</v>
      </c>
      <c r="F33" s="1" t="str">
        <f>VLOOKUP(Port_Optimization_001[[#This Row],[POL CODE]],POL!F:H,2,0)</f>
        <v>VKFjVnvddQPZqnPPLjwhPA%253D%253D</v>
      </c>
      <c r="G33" s="1" t="str">
        <f>_xlfn.IFNA(VLOOKUP(Port_Optimization_001[[#This Row],[POD CODE]],POD!F:H,2,0),"")</f>
        <v>1kkaoo2GPISaBR1Jx7dWKw%253D%253D</v>
      </c>
      <c r="H33" s="1" t="str">
        <f>VLOOKUP(Port_Optimization_001[[#This Row],[POL CODE]],POL!F:H,3,0)</f>
        <v>VKFjVnvddQPZqnPPLjwhPA%253D%253D</v>
      </c>
      <c r="I33" s="1" t="str">
        <f>_xlfn.IFNA(VLOOKUP(Port_Optimization_001[[#This Row],[POD CODE]],POD!F:H,3,0),"")</f>
        <v>ngG2%252FjG4NlHb5ZGdAHVP4g%253D%253D</v>
      </c>
    </row>
    <row r="34" spans="1:9" x14ac:dyDescent="0.3">
      <c r="A34" s="1" t="s">
        <v>1429</v>
      </c>
      <c r="B34" s="1" t="s">
        <v>1403</v>
      </c>
      <c r="C34" s="1" t="str">
        <f t="shared" si="0"/>
        <v>CNLYG</v>
      </c>
      <c r="D34" s="1" t="str">
        <f t="shared" si="1"/>
        <v>AEJEA</v>
      </c>
      <c r="E3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https://www.weiyun001.com/routePort?st=VKFjVnvddQPZqnPPLjwhPA%253D%253D&amp;de=SbjTwb99PCeDQHDeZwEvvA%253D%253D&amp;rg=VKFjVnvddQPZqnPPLjwhPA%253D%253D&amp;rt=nIJ3Uyv%252Bm7qB2PS5QvkN1A%253D%253D</v>
      </c>
      <c r="F34" s="1" t="str">
        <f>VLOOKUP(Port_Optimization_001[[#This Row],[POL CODE]],POL!F:H,2,0)</f>
        <v>VKFjVnvddQPZqnPPLjwhPA%253D%253D</v>
      </c>
      <c r="G34" s="1" t="str">
        <f>_xlfn.IFNA(VLOOKUP(Port_Optimization_001[[#This Row],[POD CODE]],POD!F:H,2,0),"")</f>
        <v>SbjTwb99PCeDQHDeZwEvvA%253D%253D</v>
      </c>
      <c r="H34" s="1" t="str">
        <f>VLOOKUP(Port_Optimization_001[[#This Row],[POL CODE]],POL!F:H,3,0)</f>
        <v>VKFjVnvddQPZqnPPLjwhPA%253D%253D</v>
      </c>
      <c r="I34" s="1" t="str">
        <f>_xlfn.IFNA(VLOOKUP(Port_Optimization_001[[#This Row],[POD CODE]],POD!F:H,3,0),"")</f>
        <v>nIJ3Uyv%252Bm7qB2PS5QvkN1A%253D%253D</v>
      </c>
    </row>
    <row r="35" spans="1:9" x14ac:dyDescent="0.3">
      <c r="A35" s="1" t="s">
        <v>1429</v>
      </c>
      <c r="B35" s="1" t="s">
        <v>1404</v>
      </c>
      <c r="C35" s="1" t="str">
        <f t="shared" si="0"/>
        <v>CNLYG</v>
      </c>
      <c r="D35" s="1" t="str">
        <f t="shared" si="1"/>
        <v>VNSGN</v>
      </c>
      <c r="E3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https://www.weiyun001.com/routePort?st=VKFjVnvddQPZqnPPLjwhPA%253D%253D&amp;de=CVigZ03WwsIi3M4cUzX1IA%253D%253D&amp;rg=VKFjVnvddQPZqnPPLjwhPA%253D%253D&amp;rt=NFL9cTznAaa4CBynkPs%252B6Q%253D%253D</v>
      </c>
      <c r="F35" s="1" t="str">
        <f>VLOOKUP(Port_Optimization_001[[#This Row],[POL CODE]],POL!F:H,2,0)</f>
        <v>VKFjVnvddQPZqnPPLjwhPA%253D%253D</v>
      </c>
      <c r="G35" s="1" t="str">
        <f>_xlfn.IFNA(VLOOKUP(Port_Optimization_001[[#This Row],[POD CODE]],POD!F:H,2,0),"")</f>
        <v>CVigZ03WwsIi3M4cUzX1IA%253D%253D</v>
      </c>
      <c r="H35" s="1" t="str">
        <f>VLOOKUP(Port_Optimization_001[[#This Row],[POL CODE]],POL!F:H,3,0)</f>
        <v>VKFjVnvddQPZqnPPLjwhPA%253D%253D</v>
      </c>
      <c r="I35" s="1" t="str">
        <f>_xlfn.IFNA(VLOOKUP(Port_Optimization_001[[#This Row],[POD CODE]],POD!F:H,3,0),"")</f>
        <v>NFL9cTznAaa4CBynkPs%252B6Q%253D%253D</v>
      </c>
    </row>
    <row r="36" spans="1:9" x14ac:dyDescent="0.3">
      <c r="A36" s="1" t="s">
        <v>1429</v>
      </c>
      <c r="B36" s="1" t="s">
        <v>1407</v>
      </c>
      <c r="C36" s="1" t="str">
        <f t="shared" si="0"/>
        <v>CNLYG</v>
      </c>
      <c r="D36" s="1" t="str">
        <f t="shared" si="1"/>
        <v>VNHPH</v>
      </c>
      <c r="E3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https://www.weiyun001.com/routePort?st=VKFjVnvddQPZqnPPLjwhPA%253D%253D&amp;de=fJ71EUPe75vnyZvJ9cGHxg%253D%253D&amp;rg=VKFjVnvddQPZqnPPLjwhPA%253D%253D&amp;rt=NFL9cTznAaa4CBynkPs%252B6Q%253D%253D</v>
      </c>
      <c r="F36" s="1" t="str">
        <f>VLOOKUP(Port_Optimization_001[[#This Row],[POL CODE]],POL!F:H,2,0)</f>
        <v>VKFjVnvddQPZqnPPLjwhPA%253D%253D</v>
      </c>
      <c r="G36" s="1" t="str">
        <f>_xlfn.IFNA(VLOOKUP(Port_Optimization_001[[#This Row],[POD CODE]],POD!F:H,2,0),"")</f>
        <v>fJ71EUPe75vnyZvJ9cGHxg%253D%253D</v>
      </c>
      <c r="H36" s="1" t="str">
        <f>VLOOKUP(Port_Optimization_001[[#This Row],[POL CODE]],POL!F:H,3,0)</f>
        <v>VKFjVnvddQPZqnPPLjwhPA%253D%253D</v>
      </c>
      <c r="I36" s="1" t="str">
        <f>_xlfn.IFNA(VLOOKUP(Port_Optimization_001[[#This Row],[POD CODE]],POD!F:H,3,0),"")</f>
        <v>NFL9cTznAaa4CBynkPs%252B6Q%253D%253D</v>
      </c>
    </row>
    <row r="37" spans="1:9" x14ac:dyDescent="0.3">
      <c r="A37" s="1" t="s">
        <v>1429</v>
      </c>
      <c r="B37" s="1" t="s">
        <v>1406</v>
      </c>
      <c r="C37" s="1" t="str">
        <f t="shared" si="0"/>
        <v>CNLYG</v>
      </c>
      <c r="D37" s="1" t="str">
        <f t="shared" si="1"/>
        <v>IDJKT</v>
      </c>
      <c r="E3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https://www.weiyun001.com/routePort?st=VKFjVnvddQPZqnPPLjwhPA%253D%253D&amp;de=ffFYXkaqrPSmqfQq9H1AYQ%253D%253D&amp;rg=VKFjVnvddQPZqnPPLjwhPA%253D%253D&amp;rt=1Cobu6af7PO5k9VHay4j%252Bg%253D%253D</v>
      </c>
      <c r="F37" s="1" t="str">
        <f>VLOOKUP(Port_Optimization_001[[#This Row],[POL CODE]],POL!F:H,2,0)</f>
        <v>VKFjVnvddQPZqnPPLjwhPA%253D%253D</v>
      </c>
      <c r="G37" s="1" t="str">
        <f>_xlfn.IFNA(VLOOKUP(Port_Optimization_001[[#This Row],[POD CODE]],POD!F:H,2,0),"")</f>
        <v>ffFYXkaqrPSmqfQq9H1AYQ%253D%253D</v>
      </c>
      <c r="H37" s="1" t="str">
        <f>VLOOKUP(Port_Optimization_001[[#This Row],[POL CODE]],POL!F:H,3,0)</f>
        <v>VKFjVnvddQPZqnPPLjwhPA%253D%253D</v>
      </c>
      <c r="I37" s="1" t="str">
        <f>_xlfn.IFNA(VLOOKUP(Port_Optimization_001[[#This Row],[POD CODE]],POD!F:H,3,0),"")</f>
        <v>1Cobu6af7PO5k9VHay4j%252Bg%253D%253D</v>
      </c>
    </row>
    <row r="38" spans="1:9" x14ac:dyDescent="0.3">
      <c r="A38" s="1" t="s">
        <v>1429</v>
      </c>
      <c r="B38" s="1" t="s">
        <v>1408</v>
      </c>
      <c r="C38" s="1" t="str">
        <f t="shared" si="0"/>
        <v>CNLYG</v>
      </c>
      <c r="D38" s="1" t="str">
        <f t="shared" si="1"/>
        <v>THLCH</v>
      </c>
      <c r="E3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https://www.weiyun001.com/routePort?st=VKFjVnvddQPZqnPPLjwhPA%253D%253D&amp;de=OxmUlXWM%252FAUYd%252FPp1zlwDA%253D%253D&amp;rg=VKFjVnvddQPZqnPPLjwhPA%253D%253D&amp;rt=NFL9cTznAaa4CBynkPs%252B6Q%253D%253D</v>
      </c>
      <c r="F38" s="1" t="str">
        <f>VLOOKUP(Port_Optimization_001[[#This Row],[POL CODE]],POL!F:H,2,0)</f>
        <v>VKFjVnvddQPZqnPPLjwhPA%253D%253D</v>
      </c>
      <c r="G38" s="1" t="str">
        <f>_xlfn.IFNA(VLOOKUP(Port_Optimization_001[[#This Row],[POD CODE]],POD!F:H,2,0),"")</f>
        <v>OxmUlXWM%252FAUYd%252FPp1zlwDA%253D%253D</v>
      </c>
      <c r="H38" s="1" t="str">
        <f>VLOOKUP(Port_Optimization_001[[#This Row],[POL CODE]],POL!F:H,3,0)</f>
        <v>VKFjVnvddQPZqnPPLjwhPA%253D%253D</v>
      </c>
      <c r="I38" s="1" t="str">
        <f>_xlfn.IFNA(VLOOKUP(Port_Optimization_001[[#This Row],[POD CODE]],POD!F:H,3,0),"")</f>
        <v>NFL9cTznAaa4CBynkPs%252B6Q%253D%253D</v>
      </c>
    </row>
    <row r="39" spans="1:9" x14ac:dyDescent="0.3">
      <c r="A39" s="1" t="s">
        <v>1429</v>
      </c>
      <c r="B39" s="1" t="s">
        <v>1411</v>
      </c>
      <c r="C39" s="1" t="str">
        <f t="shared" si="0"/>
        <v>CNLYG</v>
      </c>
      <c r="D39" s="1" t="str">
        <f t="shared" si="1"/>
        <v>SGSIN</v>
      </c>
      <c r="E3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https://www.weiyun001.com/routePort?st=VKFjVnvddQPZqnPPLjwhPA%253D%253D&amp;de=YqmvNL3mswajMEBG16hT2A%253D%253D&amp;rg=VKFjVnvddQPZqnPPLjwhPA%253D%253D&amp;rt=NFL9cTznAaa4CBynkPs%252B6Q%253D%253D</v>
      </c>
      <c r="F39" s="1" t="str">
        <f>VLOOKUP(Port_Optimization_001[[#This Row],[POL CODE]],POL!F:H,2,0)</f>
        <v>VKFjVnvddQPZqnPPLjwhPA%253D%253D</v>
      </c>
      <c r="G39" s="1" t="str">
        <f>_xlfn.IFNA(VLOOKUP(Port_Optimization_001[[#This Row],[POD CODE]],POD!F:H,2,0),"")</f>
        <v>YqmvNL3mswajMEBG16hT2A%253D%253D</v>
      </c>
      <c r="H39" s="1" t="str">
        <f>VLOOKUP(Port_Optimization_001[[#This Row],[POL CODE]],POL!F:H,3,0)</f>
        <v>VKFjVnvddQPZqnPPLjwhPA%253D%253D</v>
      </c>
      <c r="I39" s="1" t="str">
        <f>_xlfn.IFNA(VLOOKUP(Port_Optimization_001[[#This Row],[POD CODE]],POD!F:H,3,0),"")</f>
        <v>NFL9cTznAaa4CBynkPs%252B6Q%253D%253D</v>
      </c>
    </row>
    <row r="40" spans="1:9" x14ac:dyDescent="0.3">
      <c r="A40" s="1" t="s">
        <v>1429</v>
      </c>
      <c r="B40" s="1" t="s">
        <v>1417</v>
      </c>
      <c r="C40" s="1" t="str">
        <f t="shared" si="0"/>
        <v>CNLYG</v>
      </c>
      <c r="D40" s="1" t="str">
        <f t="shared" si="1"/>
        <v>KRPUS</v>
      </c>
      <c r="E4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https://www.weiyun001.com/routePort?st=VKFjVnvddQPZqnPPLjwhPA%253D%253D&amp;de=8pLSQnjoVis1CMK2AzkKQA%253D%253D&amp;rg=VKFjVnvddQPZqnPPLjwhPA%253D%253D&amp;rt=KylH8Pr1ynXpbeNIUggL%252FQ%253D%253D</v>
      </c>
      <c r="F40" s="1" t="str">
        <f>VLOOKUP(Port_Optimization_001[[#This Row],[POL CODE]],POL!F:H,2,0)</f>
        <v>VKFjVnvddQPZqnPPLjwhPA%253D%253D</v>
      </c>
      <c r="G40" s="1" t="str">
        <f>_xlfn.IFNA(VLOOKUP(Port_Optimization_001[[#This Row],[POD CODE]],POD!F:H,2,0),"")</f>
        <v>8pLSQnjoVis1CMK2AzkKQA%253D%253D</v>
      </c>
      <c r="H40" s="1" t="str">
        <f>VLOOKUP(Port_Optimization_001[[#This Row],[POL CODE]],POL!F:H,3,0)</f>
        <v>VKFjVnvddQPZqnPPLjwhPA%253D%253D</v>
      </c>
      <c r="I40" s="1" t="str">
        <f>_xlfn.IFNA(VLOOKUP(Port_Optimization_001[[#This Row],[POD CODE]],POD!F:H,3,0),"")</f>
        <v>KylH8Pr1ynXpbeNIUggL%252FQ%253D%253D</v>
      </c>
    </row>
    <row r="41" spans="1:9" x14ac:dyDescent="0.3">
      <c r="A41" s="1" t="s">
        <v>1429</v>
      </c>
      <c r="B41" s="1" t="s">
        <v>1421</v>
      </c>
      <c r="C41" s="1" t="str">
        <f t="shared" si="0"/>
        <v>CNLYG</v>
      </c>
      <c r="D41" s="1" t="str">
        <f t="shared" si="1"/>
        <v>TWKHH</v>
      </c>
      <c r="E4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https://www.weiyun001.com/routePort?st=VKFjVnvddQPZqnPPLjwhPA%253D%253D&amp;de=Vjyg7XTarHY%252B0lksvtw%252F7A%253D%253D&amp;rg=VKFjVnvddQPZqnPPLjwhPA%253D%253D&amp;rt=Ha4nmfNgPHgKMiB9XpJc%252Bg%253D%253D</v>
      </c>
      <c r="F41" s="1" t="str">
        <f>VLOOKUP(Port_Optimization_001[[#This Row],[POL CODE]],POL!F:H,2,0)</f>
        <v>VKFjVnvddQPZqnPPLjwhPA%253D%253D</v>
      </c>
      <c r="G41" s="1" t="str">
        <f>_xlfn.IFNA(VLOOKUP(Port_Optimization_001[[#This Row],[POD CODE]],POD!F:H,2,0),"")</f>
        <v>Vjyg7XTarHY%252B0lksvtw%252F7A%253D%253D</v>
      </c>
      <c r="H41" s="1" t="str">
        <f>VLOOKUP(Port_Optimization_001[[#This Row],[POL CODE]],POL!F:H,3,0)</f>
        <v>VKFjVnvddQPZqnPPLjwhPA%253D%253D</v>
      </c>
      <c r="I41" s="1" t="str">
        <f>_xlfn.IFNA(VLOOKUP(Port_Optimization_001[[#This Row],[POD CODE]],POD!F:H,3,0),"")</f>
        <v>Ha4nmfNgPHgKMiB9XpJc%252Bg%253D%253D</v>
      </c>
    </row>
    <row r="42" spans="1:9" x14ac:dyDescent="0.3">
      <c r="A42" s="1" t="s">
        <v>1429</v>
      </c>
      <c r="B42" s="1" t="s">
        <v>1424</v>
      </c>
      <c r="C42" s="1" t="str">
        <f t="shared" si="0"/>
        <v>CNLYG</v>
      </c>
      <c r="D42" s="1" t="str">
        <f t="shared" si="1"/>
        <v>RUVVO</v>
      </c>
      <c r="E4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https://www.weiyun001.com/routePort?st=VKFjVnvddQPZqnPPLjwhPA%253D%253D&amp;de=s0PPhkNj1tJW6BNaLsGHUw%253D%253D&amp;rg=VKFjVnvddQPZqnPPLjwhPA%253D%253D&amp;rt=r8vdJELtQ6mqgPEUMkhs6w%253D%253D</v>
      </c>
      <c r="F42" s="1" t="str">
        <f>VLOOKUP(Port_Optimization_001[[#This Row],[POL CODE]],POL!F:H,2,0)</f>
        <v>VKFjVnvddQPZqnPPLjwhPA%253D%253D</v>
      </c>
      <c r="G42" s="1" t="str">
        <f>_xlfn.IFNA(VLOOKUP(Port_Optimization_001[[#This Row],[POD CODE]],POD!F:H,2,0),"")</f>
        <v>s0PPhkNj1tJW6BNaLsGHUw%253D%253D</v>
      </c>
      <c r="H42" s="1" t="str">
        <f>VLOOKUP(Port_Optimization_001[[#This Row],[POL CODE]],POL!F:H,3,0)</f>
        <v>VKFjVnvddQPZqnPPLjwhPA%253D%253D</v>
      </c>
      <c r="I42" s="1" t="str">
        <f>_xlfn.IFNA(VLOOKUP(Port_Optimization_001[[#This Row],[POD CODE]],POD!F:H,3,0),"")</f>
        <v>r8vdJELtQ6mqgPEUMkhs6w%253D%253D</v>
      </c>
    </row>
    <row r="43" spans="1:9" x14ac:dyDescent="0.3">
      <c r="A43" s="1" t="s">
        <v>1429</v>
      </c>
      <c r="B43" s="1" t="s">
        <v>1431</v>
      </c>
      <c r="C43" s="1" t="str">
        <f t="shared" si="0"/>
        <v>CNLYG</v>
      </c>
      <c r="D43" s="1" t="str">
        <f t="shared" si="1"/>
        <v>JPTYO</v>
      </c>
      <c r="E4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https://www.weiyun001.com/routePort?st=VKFjVnvddQPZqnPPLjwhPA%253D%253D&amp;de=EYTjpOznR1kHh1upPcXcZQ%253D%253D&amp;rg=VKFjVnvddQPZqnPPLjwhPA%253D%253D&amp;rt=RHiB9uH2veEacXFy%252F4no2w%253D%253D</v>
      </c>
      <c r="F43" s="1" t="str">
        <f>VLOOKUP(Port_Optimization_001[[#This Row],[POL CODE]],POL!F:H,2,0)</f>
        <v>VKFjVnvddQPZqnPPLjwhPA%253D%253D</v>
      </c>
      <c r="G43" s="1" t="str">
        <f>_xlfn.IFNA(VLOOKUP(Port_Optimization_001[[#This Row],[POD CODE]],POD!F:H,2,0),"")</f>
        <v>EYTjpOznR1kHh1upPcXcZQ%253D%253D</v>
      </c>
      <c r="H43" s="1" t="str">
        <f>VLOOKUP(Port_Optimization_001[[#This Row],[POL CODE]],POL!F:H,3,0)</f>
        <v>VKFjVnvddQPZqnPPLjwhPA%253D%253D</v>
      </c>
      <c r="I43" s="1" t="str">
        <f>_xlfn.IFNA(VLOOKUP(Port_Optimization_001[[#This Row],[POD CODE]],POD!F:H,3,0),"")</f>
        <v>RHiB9uH2veEacXFy%252F4no2w%253D%253D</v>
      </c>
    </row>
    <row r="44" spans="1:9" x14ac:dyDescent="0.3">
      <c r="A44" s="1" t="s">
        <v>1429</v>
      </c>
      <c r="B44" s="1" t="s">
        <v>1432</v>
      </c>
      <c r="C44" s="1" t="str">
        <f t="shared" si="0"/>
        <v>CNLYG</v>
      </c>
      <c r="D44" s="1" t="str">
        <f t="shared" si="1"/>
        <v>KRKWA</v>
      </c>
      <c r="E4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https://www.weiyun001.com/routePort?st=VKFjVnvddQPZqnPPLjwhPA%253D%253D&amp;de=rPLnE99TLeh2amlrcypq7A%253D%253D&amp;rg=VKFjVnvddQPZqnPPLjwhPA%253D%253D&amp;rt=KylH8Pr1ynXpbeNIUggL%252FQ%253D%253D</v>
      </c>
      <c r="F44" s="1" t="str">
        <f>VLOOKUP(Port_Optimization_001[[#This Row],[POL CODE]],POL!F:H,2,0)</f>
        <v>VKFjVnvddQPZqnPPLjwhPA%253D%253D</v>
      </c>
      <c r="G44" s="1" t="str">
        <f>_xlfn.IFNA(VLOOKUP(Port_Optimization_001[[#This Row],[POD CODE]],POD!F:H,2,0),"")</f>
        <v>rPLnE99TLeh2amlrcypq7A%253D%253D</v>
      </c>
      <c r="H44" s="1" t="str">
        <f>VLOOKUP(Port_Optimization_001[[#This Row],[POL CODE]],POL!F:H,3,0)</f>
        <v>VKFjVnvddQPZqnPPLjwhPA%253D%253D</v>
      </c>
      <c r="I44" s="1" t="str">
        <f>_xlfn.IFNA(VLOOKUP(Port_Optimization_001[[#This Row],[POD CODE]],POD!F:H,3,0),"")</f>
        <v>KylH8Pr1ynXpbeNIUggL%252FQ%253D%253D</v>
      </c>
    </row>
    <row r="45" spans="1:9" x14ac:dyDescent="0.3">
      <c r="A45" s="1" t="s">
        <v>1429</v>
      </c>
      <c r="B45" s="1" t="s">
        <v>1433</v>
      </c>
      <c r="C45" s="1" t="str">
        <f t="shared" si="0"/>
        <v>CNLYG</v>
      </c>
      <c r="D45" s="1" t="str">
        <f t="shared" si="1"/>
        <v>KRINC</v>
      </c>
      <c r="E4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https://www.weiyun001.com/routePort?st=VKFjVnvddQPZqnPPLjwhPA%253D%253D&amp;de=2UAI1gOlHKk%252FIsLwoS%252Fqdw%253D%253D&amp;rg=VKFjVnvddQPZqnPPLjwhPA%253D%253D&amp;rt=KylH8Pr1ynXpbeNIUggL%252FQ%253D%253D</v>
      </c>
      <c r="F45" s="1" t="str">
        <f>VLOOKUP(Port_Optimization_001[[#This Row],[POL CODE]],POL!F:H,2,0)</f>
        <v>VKFjVnvddQPZqnPPLjwhPA%253D%253D</v>
      </c>
      <c r="G45" s="1" t="str">
        <f>_xlfn.IFNA(VLOOKUP(Port_Optimization_001[[#This Row],[POD CODE]],POD!F:H,2,0),"")</f>
        <v>2UAI1gOlHKk%252FIsLwoS%252Fqdw%253D%253D</v>
      </c>
      <c r="H45" s="1" t="str">
        <f>VLOOKUP(Port_Optimization_001[[#This Row],[POL CODE]],POL!F:H,3,0)</f>
        <v>VKFjVnvddQPZqnPPLjwhPA%253D%253D</v>
      </c>
      <c r="I45" s="1" t="str">
        <f>_xlfn.IFNA(VLOOKUP(Port_Optimization_001[[#This Row],[POD CODE]],POD!F:H,3,0),"")</f>
        <v>KylH8Pr1ynXpbeNIUggL%252FQ%253D%253D</v>
      </c>
    </row>
    <row r="46" spans="1:9" x14ac:dyDescent="0.3">
      <c r="A46" s="1" t="s">
        <v>1429</v>
      </c>
      <c r="B46" s="1" t="s">
        <v>1428</v>
      </c>
      <c r="C46" s="1" t="str">
        <f t="shared" si="0"/>
        <v>CNLYG</v>
      </c>
      <c r="D46" s="1" t="str">
        <f t="shared" si="1"/>
        <v>RUVYP</v>
      </c>
      <c r="E4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https://www.weiyun001.com/routePort?st=VKFjVnvddQPZqnPPLjwhPA%253D%253D&amp;de=KlSWRjDAkivH8De8U2pqPQ%253D%253D&amp;rg=VKFjVnvddQPZqnPPLjwhPA%253D%253D&amp;rt=r8vdJELtQ6mqgPEUMkhs6w%253D%253D</v>
      </c>
      <c r="F46" s="1" t="str">
        <f>VLOOKUP(Port_Optimization_001[[#This Row],[POL CODE]],POL!F:H,2,0)</f>
        <v>VKFjVnvddQPZqnPPLjwhPA%253D%253D</v>
      </c>
      <c r="G46" s="1" t="str">
        <f>_xlfn.IFNA(VLOOKUP(Port_Optimization_001[[#This Row],[POD CODE]],POD!F:H,2,0),"")</f>
        <v>KlSWRjDAkivH8De8U2pqPQ%253D%253D</v>
      </c>
      <c r="H46" s="1" t="str">
        <f>VLOOKUP(Port_Optimization_001[[#This Row],[POL CODE]],POL!F:H,3,0)</f>
        <v>VKFjVnvddQPZqnPPLjwhPA%253D%253D</v>
      </c>
      <c r="I46" s="1" t="str">
        <f>_xlfn.IFNA(VLOOKUP(Port_Optimization_001[[#This Row],[POD CODE]],POD!F:H,3,0),"")</f>
        <v>r8vdJELtQ6mqgPEUMkhs6w%253D%253D</v>
      </c>
    </row>
    <row r="47" spans="1:9" x14ac:dyDescent="0.3">
      <c r="A47" s="1" t="s">
        <v>1429</v>
      </c>
      <c r="B47" s="1" t="s">
        <v>1419</v>
      </c>
      <c r="C47" s="1" t="str">
        <f t="shared" si="0"/>
        <v>CNLYG</v>
      </c>
      <c r="D47" s="1" t="str">
        <f t="shared" si="1"/>
        <v>JPHTD</v>
      </c>
      <c r="E4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https://www.weiyun001.com/routePort?st=VKFjVnvddQPZqnPPLjwhPA%253D%253D&amp;de=SW6Np5wmifEHSbIFC4MFyg%253D%253D&amp;rg=VKFjVnvddQPZqnPPLjwhPA%253D%253D&amp;rt=RHiB9uH2veEacXFy%252F4no2w%253D%253D</v>
      </c>
      <c r="F47" s="1" t="str">
        <f>VLOOKUP(Port_Optimization_001[[#This Row],[POL CODE]],POL!F:H,2,0)</f>
        <v>VKFjVnvddQPZqnPPLjwhPA%253D%253D</v>
      </c>
      <c r="G47" s="1" t="str">
        <f>_xlfn.IFNA(VLOOKUP(Port_Optimization_001[[#This Row],[POD CODE]],POD!F:H,2,0),"")</f>
        <v>SW6Np5wmifEHSbIFC4MFyg%253D%253D</v>
      </c>
      <c r="H47" s="1" t="str">
        <f>VLOOKUP(Port_Optimization_001[[#This Row],[POL CODE]],POL!F:H,3,0)</f>
        <v>VKFjVnvddQPZqnPPLjwhPA%253D%253D</v>
      </c>
      <c r="I47" s="1" t="str">
        <f>_xlfn.IFNA(VLOOKUP(Port_Optimization_001[[#This Row],[POD CODE]],POD!F:H,3,0),"")</f>
        <v>RHiB9uH2veEacXFy%252F4no2w%253D%253D</v>
      </c>
    </row>
    <row r="48" spans="1:9" x14ac:dyDescent="0.3">
      <c r="A48" s="1" t="s">
        <v>1434</v>
      </c>
      <c r="B48" s="1" t="s">
        <v>1435</v>
      </c>
      <c r="C48" s="1" t="str">
        <f t="shared" si="0"/>
        <v>CNNGB</v>
      </c>
      <c r="D48" s="1" t="str">
        <f t="shared" si="1"/>
        <v>USLGB</v>
      </c>
      <c r="E4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https://www.weiyun001.com/routePort?st=IWsG%252BSSF6iojvpfUPa6XTQ%253D%253D&amp;de=S9X4TMR2ncdJuyYiyqnbig%253D%253D&amp;rg=IWsG%252BSSF6iojvpfUPa6XTQ%253D%253D&amp;rt=uCIAr5lckiHGmGe0VyVVkw%253D%253D</v>
      </c>
      <c r="F48" s="1" t="str">
        <f>VLOOKUP(Port_Optimization_001[[#This Row],[POL CODE]],POL!F:H,2,0)</f>
        <v>IWsG%252BSSF6iojvpfUPa6XTQ%253D%253D</v>
      </c>
      <c r="G48" s="1" t="str">
        <f>_xlfn.IFNA(VLOOKUP(Port_Optimization_001[[#This Row],[POD CODE]],POD!F:H,2,0),"")</f>
        <v>S9X4TMR2ncdJuyYiyqnbig%253D%253D</v>
      </c>
      <c r="H48" s="1" t="str">
        <f>VLOOKUP(Port_Optimization_001[[#This Row],[POL CODE]],POL!F:H,3,0)</f>
        <v>IWsG%252BSSF6iojvpfUPa6XTQ%253D%253D</v>
      </c>
      <c r="I48" s="1" t="str">
        <f>_xlfn.IFNA(VLOOKUP(Port_Optimization_001[[#This Row],[POD CODE]],POD!F:H,3,0),"")</f>
        <v>uCIAr5lckiHGmGe0VyVVkw%253D%253D</v>
      </c>
    </row>
    <row r="49" spans="1:9" x14ac:dyDescent="0.3">
      <c r="A49" s="1" t="s">
        <v>1434</v>
      </c>
      <c r="B49" s="1" t="s">
        <v>1436</v>
      </c>
      <c r="C49" s="1" t="str">
        <f t="shared" si="0"/>
        <v>CNNGB</v>
      </c>
      <c r="D49" s="1" t="str">
        <f t="shared" si="1"/>
        <v>USLAX</v>
      </c>
      <c r="E4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https://www.weiyun001.com/routePort?st=IWsG%252BSSF6iojvpfUPa6XTQ%253D%253D&amp;de=iwosRMDzfh0L9To05g8QbQ%253D%253D&amp;rg=IWsG%252BSSF6iojvpfUPa6XTQ%253D%253D&amp;rt=uCIAr5lckiHGmGe0VyVVkw%253D%253D</v>
      </c>
      <c r="F49" s="1" t="str">
        <f>VLOOKUP(Port_Optimization_001[[#This Row],[POL CODE]],POL!F:H,2,0)</f>
        <v>IWsG%252BSSF6iojvpfUPa6XTQ%253D%253D</v>
      </c>
      <c r="G49" s="1" t="str">
        <f>_xlfn.IFNA(VLOOKUP(Port_Optimization_001[[#This Row],[POD CODE]],POD!F:H,2,0),"")</f>
        <v>iwosRMDzfh0L9To05g8QbQ%253D%253D</v>
      </c>
      <c r="H49" s="1" t="str">
        <f>VLOOKUP(Port_Optimization_001[[#This Row],[POL CODE]],POL!F:H,3,0)</f>
        <v>IWsG%252BSSF6iojvpfUPa6XTQ%253D%253D</v>
      </c>
      <c r="I49" s="1" t="str">
        <f>_xlfn.IFNA(VLOOKUP(Port_Optimization_001[[#This Row],[POD CODE]],POD!F:H,3,0),"")</f>
        <v>uCIAr5lckiHGmGe0VyVVkw%253D%253D</v>
      </c>
    </row>
    <row r="50" spans="1:9" x14ac:dyDescent="0.3">
      <c r="A50" s="1" t="s">
        <v>1434</v>
      </c>
      <c r="B50" s="1" t="s">
        <v>1437</v>
      </c>
      <c r="C50" s="1" t="str">
        <f t="shared" si="0"/>
        <v>CNNGB</v>
      </c>
      <c r="D50" s="1" t="str">
        <f t="shared" si="1"/>
        <v>USTIW</v>
      </c>
      <c r="E5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https://www.weiyun001.com/routePort?st=IWsG%252BSSF6iojvpfUPa6XTQ%253D%253D&amp;de=zGTbVBH1MOiZD2ygklzJNQ%253D%253D&amp;rg=IWsG%252BSSF6iojvpfUPa6XTQ%253D%253D&amp;rt=uCIAr5lckiHGmGe0VyVVkw%253D%253D</v>
      </c>
      <c r="F50" s="1" t="str">
        <f>VLOOKUP(Port_Optimization_001[[#This Row],[POL CODE]],POL!F:H,2,0)</f>
        <v>IWsG%252BSSF6iojvpfUPa6XTQ%253D%253D</v>
      </c>
      <c r="G50" s="1" t="str">
        <f>_xlfn.IFNA(VLOOKUP(Port_Optimization_001[[#This Row],[POD CODE]],POD!F:H,2,0),"")</f>
        <v>zGTbVBH1MOiZD2ygklzJNQ%253D%253D</v>
      </c>
      <c r="H50" s="1" t="str">
        <f>VLOOKUP(Port_Optimization_001[[#This Row],[POL CODE]],POL!F:H,3,0)</f>
        <v>IWsG%252BSSF6iojvpfUPa6XTQ%253D%253D</v>
      </c>
      <c r="I50" s="1" t="str">
        <f>_xlfn.IFNA(VLOOKUP(Port_Optimization_001[[#This Row],[POD CODE]],POD!F:H,3,0),"")</f>
        <v>uCIAr5lckiHGmGe0VyVVkw%253D%253D</v>
      </c>
    </row>
    <row r="51" spans="1:9" x14ac:dyDescent="0.3">
      <c r="A51" s="1" t="s">
        <v>1434</v>
      </c>
      <c r="B51" s="1" t="s">
        <v>1438</v>
      </c>
      <c r="C51" s="1" t="str">
        <f t="shared" si="0"/>
        <v>CNNGB</v>
      </c>
      <c r="D51" s="1" t="str">
        <f t="shared" si="1"/>
        <v>USSEA</v>
      </c>
      <c r="E5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https://www.weiyun001.com/routePort?st=IWsG%252BSSF6iojvpfUPa6XTQ%253D%253D&amp;de=2FE9O8qTioozoj95jpvnWg%253D%253D&amp;rg=IWsG%252BSSF6iojvpfUPa6XTQ%253D%253D&amp;rt=uCIAr5lckiHGmGe0VyVVkw%253D%253D</v>
      </c>
      <c r="F51" s="1" t="str">
        <f>VLOOKUP(Port_Optimization_001[[#This Row],[POL CODE]],POL!F:H,2,0)</f>
        <v>IWsG%252BSSF6iojvpfUPa6XTQ%253D%253D</v>
      </c>
      <c r="G51" s="1" t="str">
        <f>_xlfn.IFNA(VLOOKUP(Port_Optimization_001[[#This Row],[POD CODE]],POD!F:H,2,0),"")</f>
        <v>2FE9O8qTioozoj95jpvnWg%253D%253D</v>
      </c>
      <c r="H51" s="1" t="str">
        <f>VLOOKUP(Port_Optimization_001[[#This Row],[POL CODE]],POL!F:H,3,0)</f>
        <v>IWsG%252BSSF6iojvpfUPa6XTQ%253D%253D</v>
      </c>
      <c r="I51" s="1" t="str">
        <f>_xlfn.IFNA(VLOOKUP(Port_Optimization_001[[#This Row],[POD CODE]],POD!F:H,3,0),"")</f>
        <v>uCIAr5lckiHGmGe0VyVVkw%253D%253D</v>
      </c>
    </row>
    <row r="52" spans="1:9" x14ac:dyDescent="0.3">
      <c r="A52" s="1" t="s">
        <v>1434</v>
      </c>
      <c r="B52" s="1" t="s">
        <v>1439</v>
      </c>
      <c r="C52" s="1" t="str">
        <f t="shared" si="0"/>
        <v>CNNGB</v>
      </c>
      <c r="D52" s="1" t="str">
        <f t="shared" si="1"/>
        <v>USSAV</v>
      </c>
      <c r="E5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https://www.weiyun001.com/routePort?st=IWsG%252BSSF6iojvpfUPa6XTQ%253D%253D&amp;de=xoMpcfJkUafAN36aydRszQ%253D%253D&amp;rg=IWsG%252BSSF6iojvpfUPa6XTQ%253D%253D&amp;rt=2iP9zD499VuttWpU6DlwqA%253D%253D</v>
      </c>
      <c r="F52" s="1" t="str">
        <f>VLOOKUP(Port_Optimization_001[[#This Row],[POL CODE]],POL!F:H,2,0)</f>
        <v>IWsG%252BSSF6iojvpfUPa6XTQ%253D%253D</v>
      </c>
      <c r="G52" s="1" t="str">
        <f>_xlfn.IFNA(VLOOKUP(Port_Optimization_001[[#This Row],[POD CODE]],POD!F:H,2,0),"")</f>
        <v>xoMpcfJkUafAN36aydRszQ%253D%253D</v>
      </c>
      <c r="H52" s="1" t="str">
        <f>VLOOKUP(Port_Optimization_001[[#This Row],[POL CODE]],POL!F:H,3,0)</f>
        <v>IWsG%252BSSF6iojvpfUPa6XTQ%253D%253D</v>
      </c>
      <c r="I52" s="1" t="str">
        <f>_xlfn.IFNA(VLOOKUP(Port_Optimization_001[[#This Row],[POD CODE]],POD!F:H,3,0),"")</f>
        <v>2iP9zD499VuttWpU6DlwqA%253D%253D</v>
      </c>
    </row>
    <row r="53" spans="1:9" x14ac:dyDescent="0.3">
      <c r="A53" s="1" t="s">
        <v>1434</v>
      </c>
      <c r="B53" s="1" t="s">
        <v>1440</v>
      </c>
      <c r="C53" s="1" t="str">
        <f t="shared" si="0"/>
        <v>CNNGB</v>
      </c>
      <c r="D53" s="1" t="str">
        <f t="shared" si="1"/>
        <v>USHOU</v>
      </c>
      <c r="E5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https://www.weiyun001.com/routePort?st=IWsG%252BSSF6iojvpfUPa6XTQ%253D%253D&amp;de=Ojtfn48UntAUGFcYEHOQXw%253D%253D&amp;rg=IWsG%252BSSF6iojvpfUPa6XTQ%253D%253D&amp;rt=2iP9zD499VuttWpU6DlwqA%253D%253D</v>
      </c>
      <c r="F53" s="1" t="str">
        <f>VLOOKUP(Port_Optimization_001[[#This Row],[POL CODE]],POL!F:H,2,0)</f>
        <v>IWsG%252BSSF6iojvpfUPa6XTQ%253D%253D</v>
      </c>
      <c r="G53" s="1" t="str">
        <f>_xlfn.IFNA(VLOOKUP(Port_Optimization_001[[#This Row],[POD CODE]],POD!F:H,2,0),"")</f>
        <v>Ojtfn48UntAUGFcYEHOQXw%253D%253D</v>
      </c>
      <c r="H53" s="1" t="str">
        <f>VLOOKUP(Port_Optimization_001[[#This Row],[POL CODE]],POL!F:H,3,0)</f>
        <v>IWsG%252BSSF6iojvpfUPa6XTQ%253D%253D</v>
      </c>
      <c r="I53" s="1" t="str">
        <f>_xlfn.IFNA(VLOOKUP(Port_Optimization_001[[#This Row],[POD CODE]],POD!F:H,3,0),"")</f>
        <v>2iP9zD499VuttWpU6DlwqA%253D%253D</v>
      </c>
    </row>
    <row r="54" spans="1:9" x14ac:dyDescent="0.3">
      <c r="A54" s="1" t="s">
        <v>1434</v>
      </c>
      <c r="B54" s="1" t="s">
        <v>1441</v>
      </c>
      <c r="C54" s="1" t="str">
        <f t="shared" si="0"/>
        <v>CNNGB</v>
      </c>
      <c r="D54" s="1" t="str">
        <f t="shared" si="1"/>
        <v>USNYC</v>
      </c>
      <c r="E5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https://www.weiyun001.com/routePort?st=IWsG%252BSSF6iojvpfUPa6XTQ%253D%253D&amp;de=SMCumFXp2sN6a1GTH%252F2okQ%253D%253D&amp;rg=IWsG%252BSSF6iojvpfUPa6XTQ%253D%253D&amp;rt=2iP9zD499VuttWpU6DlwqA%253D%253D</v>
      </c>
      <c r="F54" s="1" t="str">
        <f>VLOOKUP(Port_Optimization_001[[#This Row],[POL CODE]],POL!F:H,2,0)</f>
        <v>IWsG%252BSSF6iojvpfUPa6XTQ%253D%253D</v>
      </c>
      <c r="G54" s="1" t="str">
        <f>_xlfn.IFNA(VLOOKUP(Port_Optimization_001[[#This Row],[POD CODE]],POD!F:H,2,0),"")</f>
        <v>SMCumFXp2sN6a1GTH%252F2okQ%253D%253D</v>
      </c>
      <c r="H54" s="1" t="str">
        <f>VLOOKUP(Port_Optimization_001[[#This Row],[POL CODE]],POL!F:H,3,0)</f>
        <v>IWsG%252BSSF6iojvpfUPa6XTQ%253D%253D</v>
      </c>
      <c r="I54" s="1" t="str">
        <f>_xlfn.IFNA(VLOOKUP(Port_Optimization_001[[#This Row],[POD CODE]],POD!F:H,3,0),"")</f>
        <v>2iP9zD499VuttWpU6DlwqA%253D%253D</v>
      </c>
    </row>
    <row r="55" spans="1:9" x14ac:dyDescent="0.3">
      <c r="A55" s="1" t="s">
        <v>1434</v>
      </c>
      <c r="B55" s="1" t="s">
        <v>1430</v>
      </c>
      <c r="C55" s="1" t="str">
        <f t="shared" si="0"/>
        <v>CNNGB</v>
      </c>
      <c r="D55" s="1" t="str">
        <f t="shared" si="1"/>
        <v>CAVAN</v>
      </c>
      <c r="E5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https://www.weiyun001.com/routePort?st=IWsG%252BSSF6iojvpfUPa6XTQ%253D%253D&amp;de=1kkaoo2GPISaBR1Jx7dWKw%253D%253D&amp;rg=IWsG%252BSSF6iojvpfUPa6XTQ%253D%253D&amp;rt=ngG2%252FjG4NlHb5ZGdAHVP4g%253D%253D</v>
      </c>
      <c r="F55" s="1" t="str">
        <f>VLOOKUP(Port_Optimization_001[[#This Row],[POL CODE]],POL!F:H,2,0)</f>
        <v>IWsG%252BSSF6iojvpfUPa6XTQ%253D%253D</v>
      </c>
      <c r="G55" s="1" t="str">
        <f>_xlfn.IFNA(VLOOKUP(Port_Optimization_001[[#This Row],[POD CODE]],POD!F:H,2,0),"")</f>
        <v>1kkaoo2GPISaBR1Jx7dWKw%253D%253D</v>
      </c>
      <c r="H55" s="1" t="str">
        <f>VLOOKUP(Port_Optimization_001[[#This Row],[POL CODE]],POL!F:H,3,0)</f>
        <v>IWsG%252BSSF6iojvpfUPa6XTQ%253D%253D</v>
      </c>
      <c r="I55" s="1" t="str">
        <f>_xlfn.IFNA(VLOOKUP(Port_Optimization_001[[#This Row],[POD CODE]],POD!F:H,3,0),"")</f>
        <v>ngG2%252FjG4NlHb5ZGdAHVP4g%253D%253D</v>
      </c>
    </row>
    <row r="56" spans="1:9" x14ac:dyDescent="0.3">
      <c r="A56" s="1" t="s">
        <v>1434</v>
      </c>
      <c r="B56" s="1" t="s">
        <v>1442</v>
      </c>
      <c r="C56" s="1" t="str">
        <f t="shared" si="0"/>
        <v>CNNGB</v>
      </c>
      <c r="D56" s="1" t="str">
        <f t="shared" si="1"/>
        <v>CAPRR</v>
      </c>
      <c r="E5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https://www.weiyun001.com/routePort?st=IWsG%252BSSF6iojvpfUPa6XTQ%253D%253D&amp;de=QFhu1BLIxJ9f0F5WJSPNxA%253D%253D&amp;rg=IWsG%252BSSF6iojvpfUPa6XTQ%253D%253D&amp;rt=ngG2%252FjG4NlHb5ZGdAHVP4g%253D%253D</v>
      </c>
      <c r="F56" s="1" t="str">
        <f>VLOOKUP(Port_Optimization_001[[#This Row],[POL CODE]],POL!F:H,2,0)</f>
        <v>IWsG%252BSSF6iojvpfUPa6XTQ%253D%253D</v>
      </c>
      <c r="G56" s="1" t="str">
        <f>_xlfn.IFNA(VLOOKUP(Port_Optimization_001[[#This Row],[POD CODE]],POD!F:H,2,0),"")</f>
        <v>QFhu1BLIxJ9f0F5WJSPNxA%253D%253D</v>
      </c>
      <c r="H56" s="1" t="str">
        <f>VLOOKUP(Port_Optimization_001[[#This Row],[POL CODE]],POL!F:H,3,0)</f>
        <v>IWsG%252BSSF6iojvpfUPa6XTQ%253D%253D</v>
      </c>
      <c r="I56" s="1" t="str">
        <f>_xlfn.IFNA(VLOOKUP(Port_Optimization_001[[#This Row],[POD CODE]],POD!F:H,3,0),"")</f>
        <v>ngG2%252FjG4NlHb5ZGdAHVP4g%253D%253D</v>
      </c>
    </row>
    <row r="57" spans="1:9" x14ac:dyDescent="0.3">
      <c r="A57" s="1" t="s">
        <v>1434</v>
      </c>
      <c r="B57" s="1" t="s">
        <v>1398</v>
      </c>
      <c r="C57" s="1" t="str">
        <f t="shared" si="0"/>
        <v>CNNGB</v>
      </c>
      <c r="D57" s="1" t="str">
        <f t="shared" si="1"/>
        <v>MXZLO</v>
      </c>
      <c r="E5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https://www.weiyun001.com/routePort?st=IWsG%252BSSF6iojvpfUPa6XTQ%253D%253D&amp;de=2Hr1qa96pxp8yXraB9fpQw%253D%253D&amp;rg=IWsG%252BSSF6iojvpfUPa6XTQ%253D%253D&amp;rt=gR2po4rysa6ynGuDnPrqMA%253D%253D</v>
      </c>
      <c r="F57" s="1" t="str">
        <f>VLOOKUP(Port_Optimization_001[[#This Row],[POL CODE]],POL!F:H,2,0)</f>
        <v>IWsG%252BSSF6iojvpfUPa6XTQ%253D%253D</v>
      </c>
      <c r="G57" s="1" t="str">
        <f>_xlfn.IFNA(VLOOKUP(Port_Optimization_001[[#This Row],[POD CODE]],POD!F:H,2,0),"")</f>
        <v>2Hr1qa96pxp8yXraB9fpQw%253D%253D</v>
      </c>
      <c r="H57" s="1" t="str">
        <f>VLOOKUP(Port_Optimization_001[[#This Row],[POL CODE]],POL!F:H,3,0)</f>
        <v>IWsG%252BSSF6iojvpfUPa6XTQ%253D%253D</v>
      </c>
      <c r="I57" s="1" t="str">
        <f>_xlfn.IFNA(VLOOKUP(Port_Optimization_001[[#This Row],[POD CODE]],POD!F:H,3,0),"")</f>
        <v>gR2po4rysa6ynGuDnPrqMA%253D%253D</v>
      </c>
    </row>
    <row r="58" spans="1:9" x14ac:dyDescent="0.3">
      <c r="A58" s="1" t="s">
        <v>1434</v>
      </c>
      <c r="B58" s="1" t="s">
        <v>1443</v>
      </c>
      <c r="C58" s="1" t="str">
        <f t="shared" si="0"/>
        <v>CNNGB</v>
      </c>
      <c r="D58" s="1" t="str">
        <f t="shared" si="1"/>
        <v>MXLZC</v>
      </c>
      <c r="E5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https://www.weiyun001.com/routePort?st=IWsG%252BSSF6iojvpfUPa6XTQ%253D%253D&amp;de=RsAsK60We34Oymz8lfTpWQ%253D%253D&amp;rg=IWsG%252BSSF6iojvpfUPa6XTQ%253D%253D&amp;rt=gR2po4rysa6ynGuDnPrqMA%253D%253D</v>
      </c>
      <c r="F58" s="1" t="str">
        <f>VLOOKUP(Port_Optimization_001[[#This Row],[POL CODE]],POL!F:H,2,0)</f>
        <v>IWsG%252BSSF6iojvpfUPa6XTQ%253D%253D</v>
      </c>
      <c r="G58" s="1" t="str">
        <f>_xlfn.IFNA(VLOOKUP(Port_Optimization_001[[#This Row],[POD CODE]],POD!F:H,2,0),"")</f>
        <v>RsAsK60We34Oymz8lfTpWQ%253D%253D</v>
      </c>
      <c r="H58" s="1" t="str">
        <f>VLOOKUP(Port_Optimization_001[[#This Row],[POL CODE]],POL!F:H,3,0)</f>
        <v>IWsG%252BSSF6iojvpfUPa6XTQ%253D%253D</v>
      </c>
      <c r="I58" s="1" t="str">
        <f>_xlfn.IFNA(VLOOKUP(Port_Optimization_001[[#This Row],[POD CODE]],POD!F:H,3,0),"")</f>
        <v>gR2po4rysa6ynGuDnPrqMA%253D%253D</v>
      </c>
    </row>
    <row r="59" spans="1:9" x14ac:dyDescent="0.3">
      <c r="A59" s="1" t="s">
        <v>1434</v>
      </c>
      <c r="B59" s="1" t="s">
        <v>1400</v>
      </c>
      <c r="C59" s="1" t="str">
        <f t="shared" si="0"/>
        <v>CNNGB</v>
      </c>
      <c r="D59" s="1" t="str">
        <f t="shared" si="1"/>
        <v>NLRTM</v>
      </c>
      <c r="E5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https://www.weiyun001.com/routePort?st=IWsG%252BSSF6iojvpfUPa6XTQ%253D%253D&amp;de=h375AOSlvQCFgmjT%252F5HSqA%253D%253D&amp;rg=IWsG%252BSSF6iojvpfUPa6XTQ%253D%253D&amp;rt=IV85J0mX0Segto%252FH4Zk5Tg%253D%253D</v>
      </c>
      <c r="F59" s="1" t="str">
        <f>VLOOKUP(Port_Optimization_001[[#This Row],[POL CODE]],POL!F:H,2,0)</f>
        <v>IWsG%252BSSF6iojvpfUPa6XTQ%253D%253D</v>
      </c>
      <c r="G59" s="1" t="str">
        <f>_xlfn.IFNA(VLOOKUP(Port_Optimization_001[[#This Row],[POD CODE]],POD!F:H,2,0),"")</f>
        <v>h375AOSlvQCFgmjT%252F5HSqA%253D%253D</v>
      </c>
      <c r="H59" s="1" t="str">
        <f>VLOOKUP(Port_Optimization_001[[#This Row],[POL CODE]],POL!F:H,3,0)</f>
        <v>IWsG%252BSSF6iojvpfUPa6XTQ%253D%253D</v>
      </c>
      <c r="I59" s="1" t="str">
        <f>_xlfn.IFNA(VLOOKUP(Port_Optimization_001[[#This Row],[POD CODE]],POD!F:H,3,0),"")</f>
        <v>IV85J0mX0Segto%252FH4Zk5Tg%253D%253D</v>
      </c>
    </row>
    <row r="60" spans="1:9" x14ac:dyDescent="0.3">
      <c r="A60" s="1" t="s">
        <v>1434</v>
      </c>
      <c r="B60" s="1" t="s">
        <v>1444</v>
      </c>
      <c r="C60" s="1" t="str">
        <f t="shared" si="0"/>
        <v>CNNGB</v>
      </c>
      <c r="D60" s="1" t="str">
        <f t="shared" si="1"/>
        <v>RULED</v>
      </c>
      <c r="E6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https://www.weiyun001.com/routePort?st=IWsG%252BSSF6iojvpfUPa6XTQ%253D%253D&amp;de=T%252FZH9vP3IKjVGd9%252B16d1gw%253D%253D&amp;rg=IWsG%252BSSF6iojvpfUPa6XTQ%253D%253D&amp;rt=4LEC8reGgGb2C69AYY5Hqw%253D%253D</v>
      </c>
      <c r="F60" s="1" t="str">
        <f>VLOOKUP(Port_Optimization_001[[#This Row],[POL CODE]],POL!F:H,2,0)</f>
        <v>IWsG%252BSSF6iojvpfUPa6XTQ%253D%253D</v>
      </c>
      <c r="G60" s="1" t="str">
        <f>_xlfn.IFNA(VLOOKUP(Port_Optimization_001[[#This Row],[POD CODE]],POD!F:H,2,0),"")</f>
        <v>T%252FZH9vP3IKjVGd9%252B16d1gw%253D%253D</v>
      </c>
      <c r="H60" s="1" t="str">
        <f>VLOOKUP(Port_Optimization_001[[#This Row],[POL CODE]],POL!F:H,3,0)</f>
        <v>IWsG%252BSSF6iojvpfUPa6XTQ%253D%253D</v>
      </c>
      <c r="I60" s="1" t="str">
        <f>_xlfn.IFNA(VLOOKUP(Port_Optimization_001[[#This Row],[POD CODE]],POD!F:H,3,0),"")</f>
        <v>4LEC8reGgGb2C69AYY5Hqw%253D%253D</v>
      </c>
    </row>
    <row r="61" spans="1:9" x14ac:dyDescent="0.3">
      <c r="A61" s="1" t="s">
        <v>1434</v>
      </c>
      <c r="B61" s="1" t="s">
        <v>1399</v>
      </c>
      <c r="C61" s="1" t="str">
        <f t="shared" si="0"/>
        <v>CNNGB</v>
      </c>
      <c r="D61" s="1" t="str">
        <f t="shared" si="1"/>
        <v>GBFXT</v>
      </c>
      <c r="E6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https://www.weiyun001.com/routePort?st=IWsG%252BSSF6iojvpfUPa6XTQ%253D%253D&amp;de=lyIBtN5jVeYlTjYD7kLYaQ%253D%253D&amp;rg=IWsG%252BSSF6iojvpfUPa6XTQ%253D%253D&amp;rt=IV85J0mX0Segto%252FH4Zk5Tg%253D%253D</v>
      </c>
      <c r="F61" s="1" t="str">
        <f>VLOOKUP(Port_Optimization_001[[#This Row],[POL CODE]],POL!F:H,2,0)</f>
        <v>IWsG%252BSSF6iojvpfUPa6XTQ%253D%253D</v>
      </c>
      <c r="G61" s="1" t="str">
        <f>_xlfn.IFNA(VLOOKUP(Port_Optimization_001[[#This Row],[POD CODE]],POD!F:H,2,0),"")</f>
        <v>lyIBtN5jVeYlTjYD7kLYaQ%253D%253D</v>
      </c>
      <c r="H61" s="1" t="str">
        <f>VLOOKUP(Port_Optimization_001[[#This Row],[POL CODE]],POL!F:H,3,0)</f>
        <v>IWsG%252BSSF6iojvpfUPa6XTQ%253D%253D</v>
      </c>
      <c r="I61" s="1" t="str">
        <f>_xlfn.IFNA(VLOOKUP(Port_Optimization_001[[#This Row],[POD CODE]],POD!F:H,3,0),"")</f>
        <v>IV85J0mX0Segto%252FH4Zk5Tg%253D%253D</v>
      </c>
    </row>
    <row r="62" spans="1:9" x14ac:dyDescent="0.3">
      <c r="A62" s="1" t="s">
        <v>1434</v>
      </c>
      <c r="B62" s="1" t="s">
        <v>1445</v>
      </c>
      <c r="C62" s="1" t="str">
        <f t="shared" si="0"/>
        <v>CNNGB</v>
      </c>
      <c r="D62" s="1" t="str">
        <f t="shared" si="1"/>
        <v>GBSOU</v>
      </c>
      <c r="E6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https://www.weiyun001.com/routePort?st=IWsG%252BSSF6iojvpfUPa6XTQ%253D%253D&amp;de=B%252FG9%252BpFYKLtOyAa452pBlQ%253D%253D&amp;rg=IWsG%252BSSF6iojvpfUPa6XTQ%253D%253D&amp;rt=IV85J0mX0Segto%252FH4Zk5Tg%253D%253D</v>
      </c>
      <c r="F62" s="1" t="str">
        <f>VLOOKUP(Port_Optimization_001[[#This Row],[POL CODE]],POL!F:H,2,0)</f>
        <v>IWsG%252BSSF6iojvpfUPa6XTQ%253D%253D</v>
      </c>
      <c r="G62" s="1" t="str">
        <f>_xlfn.IFNA(VLOOKUP(Port_Optimization_001[[#This Row],[POD CODE]],POD!F:H,2,0),"")</f>
        <v>B%252FG9%252BpFYKLtOyAa452pBlQ%253D%253D</v>
      </c>
      <c r="H62" s="1" t="str">
        <f>VLOOKUP(Port_Optimization_001[[#This Row],[POL CODE]],POL!F:H,3,0)</f>
        <v>IWsG%252BSSF6iojvpfUPa6XTQ%253D%253D</v>
      </c>
      <c r="I62" s="1" t="str">
        <f>_xlfn.IFNA(VLOOKUP(Port_Optimization_001[[#This Row],[POD CODE]],POD!F:H,3,0),"")</f>
        <v>IV85J0mX0Segto%252FH4Zk5Tg%253D%253D</v>
      </c>
    </row>
    <row r="63" spans="1:9" x14ac:dyDescent="0.3">
      <c r="A63" s="1" t="s">
        <v>1434</v>
      </c>
      <c r="B63" s="1" t="s">
        <v>1446</v>
      </c>
      <c r="C63" s="1" t="str">
        <f t="shared" si="0"/>
        <v>CNNGB</v>
      </c>
      <c r="D63" s="1" t="str">
        <f t="shared" si="1"/>
        <v>DEWVN</v>
      </c>
      <c r="E6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https://www.weiyun001.com/routePort?st=IWsG%252BSSF6iojvpfUPa6XTQ%253D%253D&amp;de=JkFUy4Alh7%252B%252FxeF2hUdVUw%253D%253D&amp;rg=IWsG%252BSSF6iojvpfUPa6XTQ%253D%253D&amp;rt=4LEC8reGgGb2C69AYY5Hqw%253D%253D</v>
      </c>
      <c r="F63" s="1" t="str">
        <f>VLOOKUP(Port_Optimization_001[[#This Row],[POL CODE]],POL!F:H,2,0)</f>
        <v>IWsG%252BSSF6iojvpfUPa6XTQ%253D%253D</v>
      </c>
      <c r="G63" s="1" t="str">
        <f>_xlfn.IFNA(VLOOKUP(Port_Optimization_001[[#This Row],[POD CODE]],POD!F:H,2,0),"")</f>
        <v>JkFUy4Alh7%252B%252FxeF2hUdVUw%253D%253D</v>
      </c>
      <c r="H63" s="1" t="str">
        <f>VLOOKUP(Port_Optimization_001[[#This Row],[POL CODE]],POL!F:H,3,0)</f>
        <v>IWsG%252BSSF6iojvpfUPa6XTQ%253D%253D</v>
      </c>
      <c r="I63" s="1" t="str">
        <f>_xlfn.IFNA(VLOOKUP(Port_Optimization_001[[#This Row],[POD CODE]],POD!F:H,3,0),"")</f>
        <v>4LEC8reGgGb2C69AYY5Hqw%253D%253D</v>
      </c>
    </row>
    <row r="64" spans="1:9" x14ac:dyDescent="0.3">
      <c r="A64" s="1" t="s">
        <v>1434</v>
      </c>
      <c r="B64" s="1" t="s">
        <v>1447</v>
      </c>
      <c r="C64" s="1" t="str">
        <f t="shared" si="0"/>
        <v>CNNGB</v>
      </c>
      <c r="D64" s="1" t="str">
        <f t="shared" si="1"/>
        <v>ESVLC</v>
      </c>
      <c r="E6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https://www.weiyun001.com/routePort?st=IWsG%252BSSF6iojvpfUPa6XTQ%253D%253D&amp;de=PUkWEcWweA49bc%252BQ%252FHA6bw%253D%253D&amp;rg=IWsG%252BSSF6iojvpfUPa6XTQ%253D%253D&amp;rt=3U623zVBsOeXBLWrfPFQPg%253D%253D</v>
      </c>
      <c r="F64" s="1" t="str">
        <f>VLOOKUP(Port_Optimization_001[[#This Row],[POL CODE]],POL!F:H,2,0)</f>
        <v>IWsG%252BSSF6iojvpfUPa6XTQ%253D%253D</v>
      </c>
      <c r="G64" s="1" t="str">
        <f>_xlfn.IFNA(VLOOKUP(Port_Optimization_001[[#This Row],[POD CODE]],POD!F:H,2,0),"")</f>
        <v>PUkWEcWweA49bc%252BQ%252FHA6bw%253D%253D</v>
      </c>
      <c r="H64" s="1" t="str">
        <f>VLOOKUP(Port_Optimization_001[[#This Row],[POL CODE]],POL!F:H,3,0)</f>
        <v>IWsG%252BSSF6iojvpfUPa6XTQ%253D%253D</v>
      </c>
      <c r="I64" s="1" t="str">
        <f>_xlfn.IFNA(VLOOKUP(Port_Optimization_001[[#This Row],[POD CODE]],POD!F:H,3,0),"")</f>
        <v>3U623zVBsOeXBLWrfPFQPg%253D%253D</v>
      </c>
    </row>
    <row r="65" spans="1:9" x14ac:dyDescent="0.3">
      <c r="A65" s="1" t="s">
        <v>1434</v>
      </c>
      <c r="B65" s="1" t="s">
        <v>1448</v>
      </c>
      <c r="C65" s="1" t="str">
        <f t="shared" si="0"/>
        <v>CNNGB</v>
      </c>
      <c r="D65" s="1" t="str">
        <f t="shared" si="1"/>
        <v>SIKOP</v>
      </c>
      <c r="E6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https://www.weiyun001.com/routePort?st=IWsG%252BSSF6iojvpfUPa6XTQ%253D%253D&amp;de=ze98pM2WES%252B2CvfdjKQc3g%253D%253D&amp;rg=IWsG%252BSSF6iojvpfUPa6XTQ%253D%253D&amp;rt=%252B0OYVDebDGU4ZUDCUVe4uQ%253D%253D</v>
      </c>
      <c r="F65" s="1" t="str">
        <f>VLOOKUP(Port_Optimization_001[[#This Row],[POL CODE]],POL!F:H,2,0)</f>
        <v>IWsG%252BSSF6iojvpfUPa6XTQ%253D%253D</v>
      </c>
      <c r="G65" s="1" t="str">
        <f>_xlfn.IFNA(VLOOKUP(Port_Optimization_001[[#This Row],[POD CODE]],POD!F:H,2,0),"")</f>
        <v>ze98pM2WES%252B2CvfdjKQc3g%253D%253D</v>
      </c>
      <c r="H65" s="1" t="str">
        <f>VLOOKUP(Port_Optimization_001[[#This Row],[POL CODE]],POL!F:H,3,0)</f>
        <v>IWsG%252BSSF6iojvpfUPa6XTQ%253D%253D</v>
      </c>
      <c r="I65" s="1" t="str">
        <f>_xlfn.IFNA(VLOOKUP(Port_Optimization_001[[#This Row],[POD CODE]],POD!F:H,3,0),"")</f>
        <v>%252B0OYVDebDGU4ZUDCUVe4uQ%253D%253D</v>
      </c>
    </row>
    <row r="66" spans="1:9" x14ac:dyDescent="0.3">
      <c r="A66" s="1" t="s">
        <v>1434</v>
      </c>
      <c r="B66" s="1" t="s">
        <v>1401</v>
      </c>
      <c r="C66" s="1" t="str">
        <f t="shared" ref="C66:C129" si="2">IF(_xlfn.TEXTBEFORE(_xlfn.TEXTAFTER(A66,"|"),"|")="CNRZH","CNTAO",_xlfn.TEXTBEFORE(_xlfn.TEXTAFTER(A66,"|"),"|"))</f>
        <v>CNNGB</v>
      </c>
      <c r="D66" s="1" t="str">
        <f t="shared" ref="D66:D129" si="3">_xlfn.TEXTBEFORE(_xlfn.TEXTAFTER(B66,"|"),"|")</f>
        <v>TRIST</v>
      </c>
      <c r="E6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https://www.weiyun001.com/routePort?st=IWsG%252BSSF6iojvpfUPa6XTQ%253D%253D&amp;de=CWZLcxB%252BS05YPBCXZF1ZGg%253D%253D&amp;rg=IWsG%252BSSF6iojvpfUPa6XTQ%253D%253D&amp;rt=OWZDyLmv3WGtVP7oMbti8g%253D%253D</v>
      </c>
      <c r="F66" s="1" t="str">
        <f>VLOOKUP(Port_Optimization_001[[#This Row],[POL CODE]],POL!F:H,2,0)</f>
        <v>IWsG%252BSSF6iojvpfUPa6XTQ%253D%253D</v>
      </c>
      <c r="G66" s="1" t="str">
        <f>_xlfn.IFNA(VLOOKUP(Port_Optimization_001[[#This Row],[POD CODE]],POD!F:H,2,0),"")</f>
        <v>CWZLcxB%252BS05YPBCXZF1ZGg%253D%253D</v>
      </c>
      <c r="H66" s="1" t="str">
        <f>VLOOKUP(Port_Optimization_001[[#This Row],[POL CODE]],POL!F:H,3,0)</f>
        <v>IWsG%252BSSF6iojvpfUPa6XTQ%253D%253D</v>
      </c>
      <c r="I66" s="1" t="str">
        <f>_xlfn.IFNA(VLOOKUP(Port_Optimization_001[[#This Row],[POD CODE]],POD!F:H,3,0),"")</f>
        <v>OWZDyLmv3WGtVP7oMbti8g%253D%253D</v>
      </c>
    </row>
    <row r="67" spans="1:9" x14ac:dyDescent="0.3">
      <c r="A67" s="1" t="s">
        <v>1434</v>
      </c>
      <c r="B67" s="1" t="s">
        <v>1449</v>
      </c>
      <c r="C67" s="1" t="str">
        <f t="shared" si="2"/>
        <v>CNNGB</v>
      </c>
      <c r="D67" s="1" t="str">
        <f t="shared" si="3"/>
        <v>RUNVS</v>
      </c>
      <c r="E6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https://www.weiyun001.com/routePort?st=IWsG%252BSSF6iojvpfUPa6XTQ%253D%253D&amp;de=MmR%252BVr7P8VwdE9cXHcRoVA%253D%253D&amp;rg=IWsG%252BSSF6iojvpfUPa6XTQ%253D%253D&amp;rt=r8vdJELtQ6mqgPEUMkhs6w%253D%253D</v>
      </c>
      <c r="F67" s="1" t="str">
        <f>VLOOKUP(Port_Optimization_001[[#This Row],[POL CODE]],POL!F:H,2,0)</f>
        <v>IWsG%252BSSF6iojvpfUPa6XTQ%253D%253D</v>
      </c>
      <c r="G67" s="1" t="str">
        <f>_xlfn.IFNA(VLOOKUP(Port_Optimization_001[[#This Row],[POD CODE]],POD!F:H,2,0),"")</f>
        <v>MmR%252BVr7P8VwdE9cXHcRoVA%253D%253D</v>
      </c>
      <c r="H67" s="1" t="str">
        <f>VLOOKUP(Port_Optimization_001[[#This Row],[POL CODE]],POL!F:H,3,0)</f>
        <v>IWsG%252BSSF6iojvpfUPa6XTQ%253D%253D</v>
      </c>
      <c r="I67" s="1" t="str">
        <f>_xlfn.IFNA(VLOOKUP(Port_Optimization_001[[#This Row],[POD CODE]],POD!F:H,3,0),"")</f>
        <v>r8vdJELtQ6mqgPEUMkhs6w%253D%253D</v>
      </c>
    </row>
    <row r="68" spans="1:9" x14ac:dyDescent="0.3">
      <c r="A68" s="1" t="s">
        <v>1434</v>
      </c>
      <c r="B68" s="1" t="s">
        <v>1402</v>
      </c>
      <c r="C68" s="1" t="str">
        <f t="shared" si="2"/>
        <v>CNNGB</v>
      </c>
      <c r="D68" s="1" t="str">
        <f t="shared" si="3"/>
        <v>INNSA</v>
      </c>
      <c r="E6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https://www.weiyun001.com/routePort?st=IWsG%252BSSF6iojvpfUPa6XTQ%253D%253D&amp;de=jD0OvY0B6WYFRxQO7kBFtg%253D%253D&amp;rg=IWsG%252BSSF6iojvpfUPa6XTQ%253D%253D&amp;rt=ZY9R0ulrUtfklWEEetRGPg%253D%253D</v>
      </c>
      <c r="F68" s="1" t="str">
        <f>VLOOKUP(Port_Optimization_001[[#This Row],[POL CODE]],POL!F:H,2,0)</f>
        <v>IWsG%252BSSF6iojvpfUPa6XTQ%253D%253D</v>
      </c>
      <c r="G68" s="1" t="str">
        <f>_xlfn.IFNA(VLOOKUP(Port_Optimization_001[[#This Row],[POD CODE]],POD!F:H,2,0),"")</f>
        <v>jD0OvY0B6WYFRxQO7kBFtg%253D%253D</v>
      </c>
      <c r="H68" s="1" t="str">
        <f>VLOOKUP(Port_Optimization_001[[#This Row],[POL CODE]],POL!F:H,3,0)</f>
        <v>IWsG%252BSSF6iojvpfUPa6XTQ%253D%253D</v>
      </c>
      <c r="I68" s="1" t="str">
        <f>_xlfn.IFNA(VLOOKUP(Port_Optimization_001[[#This Row],[POD CODE]],POD!F:H,3,0),"")</f>
        <v>ZY9R0ulrUtfklWEEetRGPg%253D%253D</v>
      </c>
    </row>
    <row r="69" spans="1:9" x14ac:dyDescent="0.3">
      <c r="A69" s="1" t="s">
        <v>1434</v>
      </c>
      <c r="B69" s="1" t="s">
        <v>1450</v>
      </c>
      <c r="C69" s="1" t="str">
        <f t="shared" si="2"/>
        <v>CNNGB</v>
      </c>
      <c r="D69" s="1" t="str">
        <f t="shared" si="3"/>
        <v>INMAA</v>
      </c>
      <c r="E6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https://www.weiyun001.com/routePort?st=IWsG%252BSSF6iojvpfUPa6XTQ%253D%253D&amp;de=vO8vVJPTiBKbz9UAlx1vNQ%253D%253D&amp;rg=IWsG%252BSSF6iojvpfUPa6XTQ%253D%253D&amp;rt=ZY9R0ulrUtfklWEEetRGPg%253D%253D</v>
      </c>
      <c r="F69" s="1" t="str">
        <f>VLOOKUP(Port_Optimization_001[[#This Row],[POL CODE]],POL!F:H,2,0)</f>
        <v>IWsG%252BSSF6iojvpfUPa6XTQ%253D%253D</v>
      </c>
      <c r="G69" s="1" t="str">
        <f>_xlfn.IFNA(VLOOKUP(Port_Optimization_001[[#This Row],[POD CODE]],POD!F:H,2,0),"")</f>
        <v>vO8vVJPTiBKbz9UAlx1vNQ%253D%253D</v>
      </c>
      <c r="H69" s="1" t="str">
        <f>VLOOKUP(Port_Optimization_001[[#This Row],[POL CODE]],POL!F:H,3,0)</f>
        <v>IWsG%252BSSF6iojvpfUPa6XTQ%253D%253D</v>
      </c>
      <c r="I69" s="1" t="str">
        <f>_xlfn.IFNA(VLOOKUP(Port_Optimization_001[[#This Row],[POD CODE]],POD!F:H,3,0),"")</f>
        <v>ZY9R0ulrUtfklWEEetRGPg%253D%253D</v>
      </c>
    </row>
    <row r="70" spans="1:9" x14ac:dyDescent="0.3">
      <c r="A70" s="1" t="s">
        <v>1434</v>
      </c>
      <c r="B70" s="1" t="s">
        <v>1451</v>
      </c>
      <c r="C70" s="1" t="str">
        <f t="shared" si="2"/>
        <v>CNNGB</v>
      </c>
      <c r="D70" s="1" t="str">
        <f t="shared" si="3"/>
        <v>INMUN</v>
      </c>
      <c r="E7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https://www.weiyun001.com/routePort?st=IWsG%252BSSF6iojvpfUPa6XTQ%253D%253D&amp;de=%252BB9fmSKB17T0hrJwRG24Sg%253D%253D&amp;rg=IWsG%252BSSF6iojvpfUPa6XTQ%253D%253D&amp;rt=ZY9R0ulrUtfklWEEetRGPg%253D%253D</v>
      </c>
      <c r="F70" s="1" t="str">
        <f>VLOOKUP(Port_Optimization_001[[#This Row],[POL CODE]],POL!F:H,2,0)</f>
        <v>IWsG%252BSSF6iojvpfUPa6XTQ%253D%253D</v>
      </c>
      <c r="G70" s="1" t="str">
        <f>_xlfn.IFNA(VLOOKUP(Port_Optimization_001[[#This Row],[POD CODE]],POD!F:H,2,0),"")</f>
        <v>%252BB9fmSKB17T0hrJwRG24Sg%253D%253D</v>
      </c>
      <c r="H70" s="1" t="str">
        <f>VLOOKUP(Port_Optimization_001[[#This Row],[POL CODE]],POL!F:H,3,0)</f>
        <v>IWsG%252BSSF6iojvpfUPa6XTQ%253D%253D</v>
      </c>
      <c r="I70" s="1" t="str">
        <f>_xlfn.IFNA(VLOOKUP(Port_Optimization_001[[#This Row],[POD CODE]],POD!F:H,3,0),"")</f>
        <v>ZY9R0ulrUtfklWEEetRGPg%253D%253D</v>
      </c>
    </row>
    <row r="71" spans="1:9" x14ac:dyDescent="0.3">
      <c r="A71" s="1" t="s">
        <v>1434</v>
      </c>
      <c r="B71" s="1" t="s">
        <v>1452</v>
      </c>
      <c r="C71" s="1" t="str">
        <f t="shared" si="2"/>
        <v>CNNGB</v>
      </c>
      <c r="D71" s="1" t="str">
        <f t="shared" si="3"/>
        <v>PKKHI</v>
      </c>
      <c r="E7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https://www.weiyun001.com/routePort?st=IWsG%252BSSF6iojvpfUPa6XTQ%253D%253D&amp;de=3ez67yisC8fnVI5KVlpklg%253D%253D&amp;rg=IWsG%252BSSF6iojvpfUPa6XTQ%253D%253D&amp;rt=ZY9R0ulrUtfklWEEetRGPg%253D%253D</v>
      </c>
      <c r="F71" s="1" t="str">
        <f>VLOOKUP(Port_Optimization_001[[#This Row],[POL CODE]],POL!F:H,2,0)</f>
        <v>IWsG%252BSSF6iojvpfUPa6XTQ%253D%253D</v>
      </c>
      <c r="G71" s="1" t="str">
        <f>_xlfn.IFNA(VLOOKUP(Port_Optimization_001[[#This Row],[POD CODE]],POD!F:H,2,0),"")</f>
        <v>3ez67yisC8fnVI5KVlpklg%253D%253D</v>
      </c>
      <c r="H71" s="1" t="str">
        <f>VLOOKUP(Port_Optimization_001[[#This Row],[POL CODE]],POL!F:H,3,0)</f>
        <v>IWsG%252BSSF6iojvpfUPa6XTQ%253D%253D</v>
      </c>
      <c r="I71" s="1" t="str">
        <f>_xlfn.IFNA(VLOOKUP(Port_Optimization_001[[#This Row],[POD CODE]],POD!F:H,3,0),"")</f>
        <v>ZY9R0ulrUtfklWEEetRGPg%253D%253D</v>
      </c>
    </row>
    <row r="72" spans="1:9" x14ac:dyDescent="0.3">
      <c r="A72" s="1" t="s">
        <v>1434</v>
      </c>
      <c r="B72" s="1" t="s">
        <v>1453</v>
      </c>
      <c r="C72" s="1" t="str">
        <f t="shared" si="2"/>
        <v>CNNGB</v>
      </c>
      <c r="D72" s="1" t="str">
        <f t="shared" si="3"/>
        <v>INKAT</v>
      </c>
      <c r="E7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https://www.weiyun001.com/routePort?st=IWsG%252BSSF6iojvpfUPa6XTQ%253D%253D&amp;de=fcBLhIhFlg0egkwgbVqfuA%253D%253D&amp;rg=IWsG%252BSSF6iojvpfUPa6XTQ%253D%253D&amp;rt=ZY9R0ulrUtfklWEEetRGPg%253D%253D</v>
      </c>
      <c r="F72" s="1" t="str">
        <f>VLOOKUP(Port_Optimization_001[[#This Row],[POL CODE]],POL!F:H,2,0)</f>
        <v>IWsG%252BSSF6iojvpfUPa6XTQ%253D%253D</v>
      </c>
      <c r="G72" s="1" t="str">
        <f>_xlfn.IFNA(VLOOKUP(Port_Optimization_001[[#This Row],[POD CODE]],POD!F:H,2,0),"")</f>
        <v>fcBLhIhFlg0egkwgbVqfuA%253D%253D</v>
      </c>
      <c r="H72" s="1" t="str">
        <f>VLOOKUP(Port_Optimization_001[[#This Row],[POL CODE]],POL!F:H,3,0)</f>
        <v>IWsG%252BSSF6iojvpfUPa6XTQ%253D%253D</v>
      </c>
      <c r="I72" s="1" t="str">
        <f>_xlfn.IFNA(VLOOKUP(Port_Optimization_001[[#This Row],[POD CODE]],POD!F:H,3,0),"")</f>
        <v>ZY9R0ulrUtfklWEEetRGPg%253D%253D</v>
      </c>
    </row>
    <row r="73" spans="1:9" x14ac:dyDescent="0.3">
      <c r="A73" s="1" t="s">
        <v>1434</v>
      </c>
      <c r="B73" s="1" t="s">
        <v>1454</v>
      </c>
      <c r="C73" s="1" t="str">
        <f t="shared" si="2"/>
        <v>CNNGB</v>
      </c>
      <c r="D73" s="1" t="str">
        <f t="shared" si="3"/>
        <v>LKCMB</v>
      </c>
      <c r="E7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https://www.weiyun001.com/routePort?st=IWsG%252BSSF6iojvpfUPa6XTQ%253D%253D&amp;de=q8WDyyHdjjx8XNBkkJqSWA%253D%253D&amp;rg=IWsG%252BSSF6iojvpfUPa6XTQ%253D%253D&amp;rt=ZY9R0ulrUtfklWEEetRGPg%253D%253D</v>
      </c>
      <c r="F73" s="1" t="str">
        <f>VLOOKUP(Port_Optimization_001[[#This Row],[POL CODE]],POL!F:H,2,0)</f>
        <v>IWsG%252BSSF6iojvpfUPa6XTQ%253D%253D</v>
      </c>
      <c r="G73" s="1" t="str">
        <f>_xlfn.IFNA(VLOOKUP(Port_Optimization_001[[#This Row],[POD CODE]],POD!F:H,2,0),"")</f>
        <v>q8WDyyHdjjx8XNBkkJqSWA%253D%253D</v>
      </c>
      <c r="H73" s="1" t="str">
        <f>VLOOKUP(Port_Optimization_001[[#This Row],[POL CODE]],POL!F:H,3,0)</f>
        <v>IWsG%252BSSF6iojvpfUPa6XTQ%253D%253D</v>
      </c>
      <c r="I73" s="1" t="str">
        <f>_xlfn.IFNA(VLOOKUP(Port_Optimization_001[[#This Row],[POD CODE]],POD!F:H,3,0),"")</f>
        <v>ZY9R0ulrUtfklWEEetRGPg%253D%253D</v>
      </c>
    </row>
    <row r="74" spans="1:9" x14ac:dyDescent="0.3">
      <c r="A74" s="1" t="s">
        <v>1434</v>
      </c>
      <c r="B74" s="1" t="s">
        <v>1403</v>
      </c>
      <c r="C74" s="1" t="str">
        <f t="shared" si="2"/>
        <v>CNNGB</v>
      </c>
      <c r="D74" s="1" t="str">
        <f t="shared" si="3"/>
        <v>AEJEA</v>
      </c>
      <c r="E7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https://www.weiyun001.com/routePort?st=IWsG%252BSSF6iojvpfUPa6XTQ%253D%253D&amp;de=SbjTwb99PCeDQHDeZwEvvA%253D%253D&amp;rg=IWsG%252BSSF6iojvpfUPa6XTQ%253D%253D&amp;rt=nIJ3Uyv%252Bm7qB2PS5QvkN1A%253D%253D</v>
      </c>
      <c r="F74" s="1" t="str">
        <f>VLOOKUP(Port_Optimization_001[[#This Row],[POL CODE]],POL!F:H,2,0)</f>
        <v>IWsG%252BSSF6iojvpfUPa6XTQ%253D%253D</v>
      </c>
      <c r="G74" s="1" t="str">
        <f>_xlfn.IFNA(VLOOKUP(Port_Optimization_001[[#This Row],[POD CODE]],POD!F:H,2,0),"")</f>
        <v>SbjTwb99PCeDQHDeZwEvvA%253D%253D</v>
      </c>
      <c r="H74" s="1" t="str">
        <f>VLOOKUP(Port_Optimization_001[[#This Row],[POL CODE]],POL!F:H,3,0)</f>
        <v>IWsG%252BSSF6iojvpfUPa6XTQ%253D%253D</v>
      </c>
      <c r="I74" s="1" t="str">
        <f>_xlfn.IFNA(VLOOKUP(Port_Optimization_001[[#This Row],[POD CODE]],POD!F:H,3,0),"")</f>
        <v>nIJ3Uyv%252Bm7qB2PS5QvkN1A%253D%253D</v>
      </c>
    </row>
    <row r="75" spans="1:9" x14ac:dyDescent="0.3">
      <c r="A75" s="1" t="s">
        <v>1434</v>
      </c>
      <c r="B75" s="1" t="s">
        <v>1455</v>
      </c>
      <c r="C75" s="1" t="str">
        <f t="shared" si="2"/>
        <v>CNNGB</v>
      </c>
      <c r="D75" s="1" t="str">
        <f t="shared" si="3"/>
        <v>SADMM</v>
      </c>
      <c r="E7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https://www.weiyun001.com/routePort?st=IWsG%252BSSF6iojvpfUPa6XTQ%253D%253D&amp;de=avCPiTfdl2v%252BuDHEPYQkLw%253D%253D&amp;rg=IWsG%252BSSF6iojvpfUPa6XTQ%253D%253D&amp;rt=nIJ3Uyv%252Bm7qB2PS5QvkN1A%253D%253D</v>
      </c>
      <c r="F75" s="1" t="str">
        <f>VLOOKUP(Port_Optimization_001[[#This Row],[POL CODE]],POL!F:H,2,0)</f>
        <v>IWsG%252BSSF6iojvpfUPa6XTQ%253D%253D</v>
      </c>
      <c r="G75" s="1" t="str">
        <f>_xlfn.IFNA(VLOOKUP(Port_Optimization_001[[#This Row],[POD CODE]],POD!F:H,2,0),"")</f>
        <v>avCPiTfdl2v%252BuDHEPYQkLw%253D%253D</v>
      </c>
      <c r="H75" s="1" t="str">
        <f>VLOOKUP(Port_Optimization_001[[#This Row],[POL CODE]],POL!F:H,3,0)</f>
        <v>IWsG%252BSSF6iojvpfUPa6XTQ%253D%253D</v>
      </c>
      <c r="I75" s="1" t="str">
        <f>_xlfn.IFNA(VLOOKUP(Port_Optimization_001[[#This Row],[POD CODE]],POD!F:H,3,0),"")</f>
        <v>nIJ3Uyv%252Bm7qB2PS5QvkN1A%253D%253D</v>
      </c>
    </row>
    <row r="76" spans="1:9" x14ac:dyDescent="0.3">
      <c r="A76" s="1" t="s">
        <v>1434</v>
      </c>
      <c r="B76" s="1" t="s">
        <v>1456</v>
      </c>
      <c r="C76" s="1" t="str">
        <f t="shared" si="2"/>
        <v>CNNGB</v>
      </c>
      <c r="D76" s="1" t="str">
        <f t="shared" si="3"/>
        <v>SAJED</v>
      </c>
      <c r="E7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https://www.weiyun001.com/routePort?st=IWsG%252BSSF6iojvpfUPa6XTQ%253D%253D&amp;de=A8b%252BKvd%252FrH3knmwPYJlW9A%253D%253D&amp;rg=IWsG%252BSSF6iojvpfUPa6XTQ%253D%253D&amp;rt=B8CCxPgTyTKHS6UWEi7E0Q%253D%253D</v>
      </c>
      <c r="F76" s="1" t="str">
        <f>VLOOKUP(Port_Optimization_001[[#This Row],[POL CODE]],POL!F:H,2,0)</f>
        <v>IWsG%252BSSF6iojvpfUPa6XTQ%253D%253D</v>
      </c>
      <c r="G76" s="1" t="str">
        <f>_xlfn.IFNA(VLOOKUP(Port_Optimization_001[[#This Row],[POD CODE]],POD!F:H,2,0),"")</f>
        <v>A8b%252BKvd%252FrH3knmwPYJlW9A%253D%253D</v>
      </c>
      <c r="H76" s="1" t="str">
        <f>VLOOKUP(Port_Optimization_001[[#This Row],[POL CODE]],POL!F:H,3,0)</f>
        <v>IWsG%252BSSF6iojvpfUPa6XTQ%253D%253D</v>
      </c>
      <c r="I76" s="1" t="str">
        <f>_xlfn.IFNA(VLOOKUP(Port_Optimization_001[[#This Row],[POD CODE]],POD!F:H,3,0),"")</f>
        <v>B8CCxPgTyTKHS6UWEi7E0Q%253D%253D</v>
      </c>
    </row>
    <row r="77" spans="1:9" x14ac:dyDescent="0.3">
      <c r="A77" s="1" t="s">
        <v>1434</v>
      </c>
      <c r="B77" s="1" t="s">
        <v>1457</v>
      </c>
      <c r="C77" s="1" t="str">
        <f t="shared" si="2"/>
        <v>CNNGB</v>
      </c>
      <c r="D77" s="1" t="str">
        <f t="shared" si="3"/>
        <v>KEMBA</v>
      </c>
      <c r="E7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https://www.weiyun001.com/routePort?st=IWsG%252BSSF6iojvpfUPa6XTQ%253D%253D&amp;de=Ox%252BalV3lY9wwJSuwc0t6mA%253D%253D&amp;rg=IWsG%252BSSF6iojvpfUPa6XTQ%253D%253D&amp;rt=Y6Ds6Vz9%252B77grs71XHIolA%253D%253D</v>
      </c>
      <c r="F77" s="1" t="str">
        <f>VLOOKUP(Port_Optimization_001[[#This Row],[POL CODE]],POL!F:H,2,0)</f>
        <v>IWsG%252BSSF6iojvpfUPa6XTQ%253D%253D</v>
      </c>
      <c r="G77" s="1" t="str">
        <f>_xlfn.IFNA(VLOOKUP(Port_Optimization_001[[#This Row],[POD CODE]],POD!F:H,2,0),"")</f>
        <v>Ox%252BalV3lY9wwJSuwc0t6mA%253D%253D</v>
      </c>
      <c r="H77" s="1" t="str">
        <f>VLOOKUP(Port_Optimization_001[[#This Row],[POL CODE]],POL!F:H,3,0)</f>
        <v>IWsG%252BSSF6iojvpfUPa6XTQ%253D%253D</v>
      </c>
      <c r="I77" s="1" t="str">
        <f>_xlfn.IFNA(VLOOKUP(Port_Optimization_001[[#This Row],[POD CODE]],POD!F:H,3,0),"")</f>
        <v>Y6Ds6Vz9%252B77grs71XHIolA%253D%253D</v>
      </c>
    </row>
    <row r="78" spans="1:9" x14ac:dyDescent="0.3">
      <c r="A78" s="1" t="s">
        <v>1434</v>
      </c>
      <c r="B78" s="1" t="s">
        <v>1458</v>
      </c>
      <c r="C78" s="1" t="str">
        <f t="shared" si="2"/>
        <v>CNNGB</v>
      </c>
      <c r="D78" s="1" t="str">
        <f t="shared" si="3"/>
        <v>ZADUR</v>
      </c>
      <c r="E7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https://www.weiyun001.com/routePort?st=IWsG%252BSSF6iojvpfUPa6XTQ%253D%253D&amp;de=u95MZzsr9eG2WvFJUQj%252Ffw%253D%253D&amp;rg=IWsG%252BSSF6iojvpfUPa6XTQ%253D%253D&amp;rt=lvNGjfh1u3F8DS5kPLxDEQ%253D%253D</v>
      </c>
      <c r="F78" s="1" t="str">
        <f>VLOOKUP(Port_Optimization_001[[#This Row],[POL CODE]],POL!F:H,2,0)</f>
        <v>IWsG%252BSSF6iojvpfUPa6XTQ%253D%253D</v>
      </c>
      <c r="G78" s="1" t="str">
        <f>_xlfn.IFNA(VLOOKUP(Port_Optimization_001[[#This Row],[POD CODE]],POD!F:H,2,0),"")</f>
        <v>u95MZzsr9eG2WvFJUQj%252Ffw%253D%253D</v>
      </c>
      <c r="H78" s="1" t="str">
        <f>VLOOKUP(Port_Optimization_001[[#This Row],[POL CODE]],POL!F:H,3,0)</f>
        <v>IWsG%252BSSF6iojvpfUPa6XTQ%253D%253D</v>
      </c>
      <c r="I78" s="1" t="str">
        <f>_xlfn.IFNA(VLOOKUP(Port_Optimization_001[[#This Row],[POD CODE]],POD!F:H,3,0),"")</f>
        <v>lvNGjfh1u3F8DS5kPLxDEQ%253D%253D</v>
      </c>
    </row>
    <row r="79" spans="1:9" x14ac:dyDescent="0.3">
      <c r="A79" s="1" t="s">
        <v>1434</v>
      </c>
      <c r="B79" s="1" t="s">
        <v>1459</v>
      </c>
      <c r="C79" s="1" t="str">
        <f t="shared" si="2"/>
        <v>CNNGB</v>
      </c>
      <c r="D79" s="1" t="str">
        <f t="shared" si="3"/>
        <v>TZDAR</v>
      </c>
      <c r="E7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https://www.weiyun001.com/routePort?st=IWsG%252BSSF6iojvpfUPa6XTQ%253D%253D&amp;de=ukOtZfiDRcbPsGuECivTcg%253D%253D&amp;rg=IWsG%252BSSF6iojvpfUPa6XTQ%253D%253D&amp;rt=Y6Ds6Vz9%252B77grs71XHIolA%253D%253D</v>
      </c>
      <c r="F79" s="1" t="str">
        <f>VLOOKUP(Port_Optimization_001[[#This Row],[POL CODE]],POL!F:H,2,0)</f>
        <v>IWsG%252BSSF6iojvpfUPa6XTQ%253D%253D</v>
      </c>
      <c r="G79" s="1" t="str">
        <f>_xlfn.IFNA(VLOOKUP(Port_Optimization_001[[#This Row],[POD CODE]],POD!F:H,2,0),"")</f>
        <v>ukOtZfiDRcbPsGuECivTcg%253D%253D</v>
      </c>
      <c r="H79" s="1" t="str">
        <f>VLOOKUP(Port_Optimization_001[[#This Row],[POL CODE]],POL!F:H,3,0)</f>
        <v>IWsG%252BSSF6iojvpfUPa6XTQ%253D%253D</v>
      </c>
      <c r="I79" s="1" t="str">
        <f>_xlfn.IFNA(VLOOKUP(Port_Optimization_001[[#This Row],[POD CODE]],POD!F:H,3,0),"")</f>
        <v>Y6Ds6Vz9%252B77grs71XHIolA%253D%253D</v>
      </c>
    </row>
    <row r="80" spans="1:9" x14ac:dyDescent="0.3">
      <c r="A80" s="1" t="s">
        <v>1434</v>
      </c>
      <c r="B80" s="1" t="s">
        <v>1460</v>
      </c>
      <c r="C80" s="1" t="str">
        <f t="shared" si="2"/>
        <v>CNNGB</v>
      </c>
      <c r="D80" s="1" t="str">
        <f t="shared" si="3"/>
        <v>CGPNR</v>
      </c>
      <c r="E8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https://www.weiyun001.com/routePort?st=IWsG%252BSSF6iojvpfUPa6XTQ%253D%253D&amp;de=gMaWZtMygUlEwJuqZRv9Rw%253D%253D&amp;rg=IWsG%252BSSF6iojvpfUPa6XTQ%253D%253D&amp;rt=d4cKFtsNQdHrm3NULzwm1w%253D%253D</v>
      </c>
      <c r="F80" s="1" t="str">
        <f>VLOOKUP(Port_Optimization_001[[#This Row],[POL CODE]],POL!F:H,2,0)</f>
        <v>IWsG%252BSSF6iojvpfUPa6XTQ%253D%253D</v>
      </c>
      <c r="G80" s="1" t="str">
        <f>_xlfn.IFNA(VLOOKUP(Port_Optimization_001[[#This Row],[POD CODE]],POD!F:H,2,0),"")</f>
        <v>gMaWZtMygUlEwJuqZRv9Rw%253D%253D</v>
      </c>
      <c r="H80" s="1" t="str">
        <f>VLOOKUP(Port_Optimization_001[[#This Row],[POL CODE]],POL!F:H,3,0)</f>
        <v>IWsG%252BSSF6iojvpfUPa6XTQ%253D%253D</v>
      </c>
      <c r="I80" s="1" t="str">
        <f>_xlfn.IFNA(VLOOKUP(Port_Optimization_001[[#This Row],[POD CODE]],POD!F:H,3,0),"")</f>
        <v>d4cKFtsNQdHrm3NULzwm1w%253D%253D</v>
      </c>
    </row>
    <row r="81" spans="1:9" x14ac:dyDescent="0.3">
      <c r="A81" s="1" t="s">
        <v>1434</v>
      </c>
      <c r="B81" s="1" t="s">
        <v>1461</v>
      </c>
      <c r="C81" s="1" t="str">
        <f t="shared" si="2"/>
        <v>CNNGB</v>
      </c>
      <c r="D81" s="1" t="str">
        <f t="shared" si="3"/>
        <v>GHTEM</v>
      </c>
      <c r="E8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https://www.weiyun001.com/routePort?st=IWsG%252BSSF6iojvpfUPa6XTQ%253D%253D&amp;de=kB%252BdZmqU8TS1XETJO7LmbQ%253D%253D&amp;rg=IWsG%252BSSF6iojvpfUPa6XTQ%253D%253D&amp;rt=d4cKFtsNQdHrm3NULzwm1w%253D%253D</v>
      </c>
      <c r="F81" s="1" t="str">
        <f>VLOOKUP(Port_Optimization_001[[#This Row],[POL CODE]],POL!F:H,2,0)</f>
        <v>IWsG%252BSSF6iojvpfUPa6XTQ%253D%253D</v>
      </c>
      <c r="G81" s="1" t="str">
        <f>_xlfn.IFNA(VLOOKUP(Port_Optimization_001[[#This Row],[POD CODE]],POD!F:H,2,0),"")</f>
        <v>kB%252BdZmqU8TS1XETJO7LmbQ%253D%253D</v>
      </c>
      <c r="H81" s="1" t="str">
        <f>VLOOKUP(Port_Optimization_001[[#This Row],[POL CODE]],POL!F:H,3,0)</f>
        <v>IWsG%252BSSF6iojvpfUPa6XTQ%253D%253D</v>
      </c>
      <c r="I81" s="1" t="str">
        <f>_xlfn.IFNA(VLOOKUP(Port_Optimization_001[[#This Row],[POD CODE]],POD!F:H,3,0),"")</f>
        <v>d4cKFtsNQdHrm3NULzwm1w%253D%253D</v>
      </c>
    </row>
    <row r="82" spans="1:9" x14ac:dyDescent="0.3">
      <c r="A82" s="1" t="s">
        <v>1434</v>
      </c>
      <c r="B82" s="1" t="s">
        <v>1462</v>
      </c>
      <c r="C82" s="1" t="str">
        <f t="shared" si="2"/>
        <v>CNNGB</v>
      </c>
      <c r="D82" s="1" t="str">
        <f t="shared" si="3"/>
        <v>NGLOS</v>
      </c>
      <c r="E8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https://www.weiyun001.com/routePort?st=IWsG%252BSSF6iojvpfUPa6XTQ%253D%253D&amp;de=NvZ0rL1fQetrGxk%252FGZRAXg%253D%253D&amp;rg=IWsG%252BSSF6iojvpfUPa6XTQ%253D%253D&amp;rt=d4cKFtsNQdHrm3NULzwm1w%253D%253D</v>
      </c>
      <c r="F82" s="1" t="str">
        <f>VLOOKUP(Port_Optimization_001[[#This Row],[POL CODE]],POL!F:H,2,0)</f>
        <v>IWsG%252BSSF6iojvpfUPa6XTQ%253D%253D</v>
      </c>
      <c r="G82" s="1" t="str">
        <f>_xlfn.IFNA(VLOOKUP(Port_Optimization_001[[#This Row],[POD CODE]],POD!F:H,2,0),"")</f>
        <v>NvZ0rL1fQetrGxk%252FGZRAXg%253D%253D</v>
      </c>
      <c r="H82" s="1" t="str">
        <f>VLOOKUP(Port_Optimization_001[[#This Row],[POL CODE]],POL!F:H,3,0)</f>
        <v>IWsG%252BSSF6iojvpfUPa6XTQ%253D%253D</v>
      </c>
      <c r="I82" s="1" t="str">
        <f>_xlfn.IFNA(VLOOKUP(Port_Optimization_001[[#This Row],[POD CODE]],POD!F:H,3,0),"")</f>
        <v>d4cKFtsNQdHrm3NULzwm1w%253D%253D</v>
      </c>
    </row>
    <row r="83" spans="1:9" x14ac:dyDescent="0.3">
      <c r="A83" s="1" t="s">
        <v>1434</v>
      </c>
      <c r="B83" s="1" t="s">
        <v>1463</v>
      </c>
      <c r="C83" s="1" t="str">
        <f t="shared" si="2"/>
        <v>CNNGB</v>
      </c>
      <c r="D83" s="1" t="str">
        <f t="shared" si="3"/>
        <v>COBUN</v>
      </c>
      <c r="E8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https://www.weiyun001.com/routePort?st=IWsG%252BSSF6iojvpfUPa6XTQ%253D%253D&amp;de=w5DjD0wJyInHt9f5k%252BKAIg%253D%253D&amp;rg=IWsG%252BSSF6iojvpfUPa6XTQ%253D%253D&amp;rt=rSDolrCl4cQcOeyAyTf1zg%253D%253D</v>
      </c>
      <c r="F83" s="1" t="str">
        <f>VLOOKUP(Port_Optimization_001[[#This Row],[POL CODE]],POL!F:H,2,0)</f>
        <v>IWsG%252BSSF6iojvpfUPa6XTQ%253D%253D</v>
      </c>
      <c r="G83" s="1" t="str">
        <f>_xlfn.IFNA(VLOOKUP(Port_Optimization_001[[#This Row],[POD CODE]],POD!F:H,2,0),"")</f>
        <v>w5DjD0wJyInHt9f5k%252BKAIg%253D%253D</v>
      </c>
      <c r="H83" s="1" t="str">
        <f>VLOOKUP(Port_Optimization_001[[#This Row],[POL CODE]],POL!F:H,3,0)</f>
        <v>IWsG%252BSSF6iojvpfUPa6XTQ%253D%253D</v>
      </c>
      <c r="I83" s="1" t="str">
        <f>_xlfn.IFNA(VLOOKUP(Port_Optimization_001[[#This Row],[POD CODE]],POD!F:H,3,0),"")</f>
        <v>rSDolrCl4cQcOeyAyTf1zg%253D%253D</v>
      </c>
    </row>
    <row r="84" spans="1:9" x14ac:dyDescent="0.3">
      <c r="A84" s="1" t="s">
        <v>1434</v>
      </c>
      <c r="B84" s="1" t="s">
        <v>1464</v>
      </c>
      <c r="C84" s="1" t="str">
        <f t="shared" si="2"/>
        <v>CNNGB</v>
      </c>
      <c r="D84" s="1" t="str">
        <f t="shared" si="3"/>
        <v>CLSAI</v>
      </c>
      <c r="E8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https://www.weiyun001.com/routePort?st=IWsG%252BSSF6iojvpfUPa6XTQ%253D%253D&amp;de=X8GcDe9OXacnotj9q6RhWg%253D%253D&amp;rg=IWsG%252BSSF6iojvpfUPa6XTQ%253D%253D&amp;rt=rSDolrCl4cQcOeyAyTf1zg%253D%253D</v>
      </c>
      <c r="F84" s="1" t="str">
        <f>VLOOKUP(Port_Optimization_001[[#This Row],[POL CODE]],POL!F:H,2,0)</f>
        <v>IWsG%252BSSF6iojvpfUPa6XTQ%253D%253D</v>
      </c>
      <c r="G84" s="1" t="str">
        <f>_xlfn.IFNA(VLOOKUP(Port_Optimization_001[[#This Row],[POD CODE]],POD!F:H,2,0),"")</f>
        <v>X8GcDe9OXacnotj9q6RhWg%253D%253D</v>
      </c>
      <c r="H84" s="1" t="str">
        <f>VLOOKUP(Port_Optimization_001[[#This Row],[POL CODE]],POL!F:H,3,0)</f>
        <v>IWsG%252BSSF6iojvpfUPa6XTQ%253D%253D</v>
      </c>
      <c r="I84" s="1" t="str">
        <f>_xlfn.IFNA(VLOOKUP(Port_Optimization_001[[#This Row],[POD CODE]],POD!F:H,3,0),"")</f>
        <v>rSDolrCl4cQcOeyAyTf1zg%253D%253D</v>
      </c>
    </row>
    <row r="85" spans="1:9" x14ac:dyDescent="0.3">
      <c r="A85" s="1" t="s">
        <v>1434</v>
      </c>
      <c r="B85" s="1" t="s">
        <v>1465</v>
      </c>
      <c r="C85" s="1" t="str">
        <f t="shared" si="2"/>
        <v>CNNGB</v>
      </c>
      <c r="D85" s="1" t="str">
        <f t="shared" si="3"/>
        <v>BRSSZ</v>
      </c>
      <c r="E8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https://www.weiyun001.com/routePort?st=IWsG%252BSSF6iojvpfUPa6XTQ%253D%253D&amp;de=BdZ%252FtNPnUUWx6c7yvRrzUw%253D%253D&amp;rg=IWsG%252BSSF6iojvpfUPa6XTQ%253D%253D&amp;rt=x61UdCRqU8mCaDHdssLZSg%253D%253D</v>
      </c>
      <c r="F85" s="1" t="str">
        <f>VLOOKUP(Port_Optimization_001[[#This Row],[POL CODE]],POL!F:H,2,0)</f>
        <v>IWsG%252BSSF6iojvpfUPa6XTQ%253D%253D</v>
      </c>
      <c r="G85" s="1" t="str">
        <f>_xlfn.IFNA(VLOOKUP(Port_Optimization_001[[#This Row],[POD CODE]],POD!F:H,2,0),"")</f>
        <v>BdZ%252FtNPnUUWx6c7yvRrzUw%253D%253D</v>
      </c>
      <c r="H85" s="1" t="str">
        <f>VLOOKUP(Port_Optimization_001[[#This Row],[POL CODE]],POL!F:H,3,0)</f>
        <v>IWsG%252BSSF6iojvpfUPa6XTQ%253D%253D</v>
      </c>
      <c r="I85" s="1" t="str">
        <f>_xlfn.IFNA(VLOOKUP(Port_Optimization_001[[#This Row],[POD CODE]],POD!F:H,3,0),"")</f>
        <v>x61UdCRqU8mCaDHdssLZSg%253D%253D</v>
      </c>
    </row>
    <row r="86" spans="1:9" x14ac:dyDescent="0.3">
      <c r="A86" s="1" t="s">
        <v>1434</v>
      </c>
      <c r="B86" s="1" t="s">
        <v>1466</v>
      </c>
      <c r="C86" s="1" t="str">
        <f t="shared" si="2"/>
        <v>CNNGB</v>
      </c>
      <c r="D86" s="1" t="str">
        <f t="shared" si="3"/>
        <v>PABLB</v>
      </c>
      <c r="E8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https://www.weiyun001.com/routePort?st=IWsG%252BSSF6iojvpfUPa6XTQ%253D%253D&amp;de=tcS9Riy%252FOQ0F96F7MGSWlQ%253D%253D&amp;rg=IWsG%252BSSF6iojvpfUPa6XTQ%253D%253D&amp;rt=eAhwAhPCSEryNn434iy2MA%253D%253D</v>
      </c>
      <c r="F86" s="1" t="str">
        <f>VLOOKUP(Port_Optimization_001[[#This Row],[POL CODE]],POL!F:H,2,0)</f>
        <v>IWsG%252BSSF6iojvpfUPa6XTQ%253D%253D</v>
      </c>
      <c r="G86" s="1" t="str">
        <f>_xlfn.IFNA(VLOOKUP(Port_Optimization_001[[#This Row],[POD CODE]],POD!F:H,2,0),"")</f>
        <v>tcS9Riy%252FOQ0F96F7MGSWlQ%253D%253D</v>
      </c>
      <c r="H86" s="1" t="str">
        <f>VLOOKUP(Port_Optimization_001[[#This Row],[POL CODE]],POL!F:H,3,0)</f>
        <v>IWsG%252BSSF6iojvpfUPa6XTQ%253D%253D</v>
      </c>
      <c r="I86" s="1" t="str">
        <f>_xlfn.IFNA(VLOOKUP(Port_Optimization_001[[#This Row],[POD CODE]],POD!F:H,3,0),"")</f>
        <v>eAhwAhPCSEryNn434iy2MA%253D%253D</v>
      </c>
    </row>
    <row r="87" spans="1:9" x14ac:dyDescent="0.3">
      <c r="A87" s="1" t="s">
        <v>1434</v>
      </c>
      <c r="B87" s="1" t="s">
        <v>1467</v>
      </c>
      <c r="C87" s="1" t="str">
        <f t="shared" si="2"/>
        <v>CNNGB</v>
      </c>
      <c r="D87" s="1" t="str">
        <f t="shared" si="3"/>
        <v>AUBNE</v>
      </c>
      <c r="E8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https://www.weiyun001.com/routePort?st=IWsG%252BSSF6iojvpfUPa6XTQ%253D%253D&amp;de=PFEPD9phugL4OCypgVW00A%253D%253D&amp;rg=IWsG%252BSSF6iojvpfUPa6XTQ%253D%253D&amp;rt=o04TRiXb4TdXUQEl8c%252F4bQ%253D%253D</v>
      </c>
      <c r="F87" s="1" t="str">
        <f>VLOOKUP(Port_Optimization_001[[#This Row],[POL CODE]],POL!F:H,2,0)</f>
        <v>IWsG%252BSSF6iojvpfUPa6XTQ%253D%253D</v>
      </c>
      <c r="G87" s="1" t="str">
        <f>_xlfn.IFNA(VLOOKUP(Port_Optimization_001[[#This Row],[POD CODE]],POD!F:H,2,0),"")</f>
        <v>PFEPD9phugL4OCypgVW00A%253D%253D</v>
      </c>
      <c r="H87" s="1" t="str">
        <f>VLOOKUP(Port_Optimization_001[[#This Row],[POL CODE]],POL!F:H,3,0)</f>
        <v>IWsG%252BSSF6iojvpfUPa6XTQ%253D%253D</v>
      </c>
      <c r="I87" s="1" t="str">
        <f>_xlfn.IFNA(VLOOKUP(Port_Optimization_001[[#This Row],[POD CODE]],POD!F:H,3,0),"")</f>
        <v>o04TRiXb4TdXUQEl8c%252F4bQ%253D%253D</v>
      </c>
    </row>
    <row r="88" spans="1:9" x14ac:dyDescent="0.3">
      <c r="A88" s="1" t="s">
        <v>1434</v>
      </c>
      <c r="B88" s="1" t="s">
        <v>1468</v>
      </c>
      <c r="C88" s="1" t="str">
        <f t="shared" si="2"/>
        <v>CNNGB</v>
      </c>
      <c r="D88" s="1" t="str">
        <f t="shared" si="3"/>
        <v>PGLAE</v>
      </c>
      <c r="E8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https://www.weiyun001.com/routePort?st=IWsG%252BSSF6iojvpfUPa6XTQ%253D%253D&amp;de=%252BbIYx2NOpTYNnWb43fB%252Bhg%253D%253D&amp;rg=IWsG%252BSSF6iojvpfUPa6XTQ%253D%253D&amp;rt=iEuy19j7DYzMrthSRfBd6A%253D%253D</v>
      </c>
      <c r="F88" s="1" t="str">
        <f>VLOOKUP(Port_Optimization_001[[#This Row],[POL CODE]],POL!F:H,2,0)</f>
        <v>IWsG%252BSSF6iojvpfUPa6XTQ%253D%253D</v>
      </c>
      <c r="G88" s="1" t="str">
        <f>_xlfn.IFNA(VLOOKUP(Port_Optimization_001[[#This Row],[POD CODE]],POD!F:H,2,0),"")</f>
        <v>%252BbIYx2NOpTYNnWb43fB%252Bhg%253D%253D</v>
      </c>
      <c r="H88" s="1" t="str">
        <f>VLOOKUP(Port_Optimization_001[[#This Row],[POL CODE]],POL!F:H,3,0)</f>
        <v>IWsG%252BSSF6iojvpfUPa6XTQ%253D%253D</v>
      </c>
      <c r="I88" s="1" t="str">
        <f>_xlfn.IFNA(VLOOKUP(Port_Optimization_001[[#This Row],[POD CODE]],POD!F:H,3,0),"")</f>
        <v>iEuy19j7DYzMrthSRfBd6A%253D%253D</v>
      </c>
    </row>
    <row r="89" spans="1:9" x14ac:dyDescent="0.3">
      <c r="A89" s="1" t="s">
        <v>1434</v>
      </c>
      <c r="B89" s="1" t="s">
        <v>1469</v>
      </c>
      <c r="C89" s="1" t="str">
        <f t="shared" si="2"/>
        <v>CNNGB</v>
      </c>
      <c r="D89" s="1" t="str">
        <f t="shared" si="3"/>
        <v>NZAKL</v>
      </c>
      <c r="E8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https://www.weiyun001.com/routePort?st=IWsG%252BSSF6iojvpfUPa6XTQ%253D%253D&amp;de=Zupqg2bdKQS8%252FjHc%252BMcJWw%253D%253D&amp;rg=IWsG%252BSSF6iojvpfUPa6XTQ%253D%253D&amp;rt=DFH7OagiSjBueiPHX%252B3reA%253D%253D</v>
      </c>
      <c r="F89" s="1" t="str">
        <f>VLOOKUP(Port_Optimization_001[[#This Row],[POL CODE]],POL!F:H,2,0)</f>
        <v>IWsG%252BSSF6iojvpfUPa6XTQ%253D%253D</v>
      </c>
      <c r="G89" s="1" t="str">
        <f>_xlfn.IFNA(VLOOKUP(Port_Optimization_001[[#This Row],[POD CODE]],POD!F:H,2,0),"")</f>
        <v>Zupqg2bdKQS8%252FjHc%252BMcJWw%253D%253D</v>
      </c>
      <c r="H89" s="1" t="str">
        <f>VLOOKUP(Port_Optimization_001[[#This Row],[POL CODE]],POL!F:H,3,0)</f>
        <v>IWsG%252BSSF6iojvpfUPa6XTQ%253D%253D</v>
      </c>
      <c r="I89" s="1" t="str">
        <f>_xlfn.IFNA(VLOOKUP(Port_Optimization_001[[#This Row],[POD CODE]],POD!F:H,3,0),"")</f>
        <v>DFH7OagiSjBueiPHX%252B3reA%253D%253D</v>
      </c>
    </row>
    <row r="90" spans="1:9" x14ac:dyDescent="0.3">
      <c r="A90" s="1" t="s">
        <v>1434</v>
      </c>
      <c r="B90" s="1" t="s">
        <v>1404</v>
      </c>
      <c r="C90" s="1" t="str">
        <f t="shared" si="2"/>
        <v>CNNGB</v>
      </c>
      <c r="D90" s="1" t="str">
        <f t="shared" si="3"/>
        <v>VNSGN</v>
      </c>
      <c r="E9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https://www.weiyun001.com/routePort?st=IWsG%252BSSF6iojvpfUPa6XTQ%253D%253D&amp;de=CVigZ03WwsIi3M4cUzX1IA%253D%253D&amp;rg=IWsG%252BSSF6iojvpfUPa6XTQ%253D%253D&amp;rt=NFL9cTznAaa4CBynkPs%252B6Q%253D%253D</v>
      </c>
      <c r="F90" s="1" t="str">
        <f>VLOOKUP(Port_Optimization_001[[#This Row],[POL CODE]],POL!F:H,2,0)</f>
        <v>IWsG%252BSSF6iojvpfUPa6XTQ%253D%253D</v>
      </c>
      <c r="G90" s="1" t="str">
        <f>_xlfn.IFNA(VLOOKUP(Port_Optimization_001[[#This Row],[POD CODE]],POD!F:H,2,0),"")</f>
        <v>CVigZ03WwsIi3M4cUzX1IA%253D%253D</v>
      </c>
      <c r="H90" s="1" t="str">
        <f>VLOOKUP(Port_Optimization_001[[#This Row],[POL CODE]],POL!F:H,3,0)</f>
        <v>IWsG%252BSSF6iojvpfUPa6XTQ%253D%253D</v>
      </c>
      <c r="I90" s="1" t="str">
        <f>_xlfn.IFNA(VLOOKUP(Port_Optimization_001[[#This Row],[POD CODE]],POD!F:H,3,0),"")</f>
        <v>NFL9cTznAaa4CBynkPs%252B6Q%253D%253D</v>
      </c>
    </row>
    <row r="91" spans="1:9" x14ac:dyDescent="0.3">
      <c r="A91" s="1" t="s">
        <v>1434</v>
      </c>
      <c r="B91" s="1" t="s">
        <v>1407</v>
      </c>
      <c r="C91" s="1" t="str">
        <f t="shared" si="2"/>
        <v>CNNGB</v>
      </c>
      <c r="D91" s="1" t="str">
        <f t="shared" si="3"/>
        <v>VNHPH</v>
      </c>
      <c r="E9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https://www.weiyun001.com/routePort?st=IWsG%252BSSF6iojvpfUPa6XTQ%253D%253D&amp;de=fJ71EUPe75vnyZvJ9cGHxg%253D%253D&amp;rg=IWsG%252BSSF6iojvpfUPa6XTQ%253D%253D&amp;rt=NFL9cTznAaa4CBynkPs%252B6Q%253D%253D</v>
      </c>
      <c r="F91" s="1" t="str">
        <f>VLOOKUP(Port_Optimization_001[[#This Row],[POL CODE]],POL!F:H,2,0)</f>
        <v>IWsG%252BSSF6iojvpfUPa6XTQ%253D%253D</v>
      </c>
      <c r="G91" s="1" t="str">
        <f>_xlfn.IFNA(VLOOKUP(Port_Optimization_001[[#This Row],[POD CODE]],POD!F:H,2,0),"")</f>
        <v>fJ71EUPe75vnyZvJ9cGHxg%253D%253D</v>
      </c>
      <c r="H91" s="1" t="str">
        <f>VLOOKUP(Port_Optimization_001[[#This Row],[POL CODE]],POL!F:H,3,0)</f>
        <v>IWsG%252BSSF6iojvpfUPa6XTQ%253D%253D</v>
      </c>
      <c r="I91" s="1" t="str">
        <f>_xlfn.IFNA(VLOOKUP(Port_Optimization_001[[#This Row],[POD CODE]],POD!F:H,3,0),"")</f>
        <v>NFL9cTznAaa4CBynkPs%252B6Q%253D%253D</v>
      </c>
    </row>
    <row r="92" spans="1:9" x14ac:dyDescent="0.3">
      <c r="A92" s="1" t="s">
        <v>1434</v>
      </c>
      <c r="B92" s="1" t="s">
        <v>1406</v>
      </c>
      <c r="C92" s="1" t="str">
        <f t="shared" si="2"/>
        <v>CNNGB</v>
      </c>
      <c r="D92" s="1" t="str">
        <f t="shared" si="3"/>
        <v>IDJKT</v>
      </c>
      <c r="E9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https://www.weiyun001.com/routePort?st=IWsG%252BSSF6iojvpfUPa6XTQ%253D%253D&amp;de=ffFYXkaqrPSmqfQq9H1AYQ%253D%253D&amp;rg=IWsG%252BSSF6iojvpfUPa6XTQ%253D%253D&amp;rt=1Cobu6af7PO5k9VHay4j%252Bg%253D%253D</v>
      </c>
      <c r="F92" s="1" t="str">
        <f>VLOOKUP(Port_Optimization_001[[#This Row],[POL CODE]],POL!F:H,2,0)</f>
        <v>IWsG%252BSSF6iojvpfUPa6XTQ%253D%253D</v>
      </c>
      <c r="G92" s="1" t="str">
        <f>_xlfn.IFNA(VLOOKUP(Port_Optimization_001[[#This Row],[POD CODE]],POD!F:H,2,0),"")</f>
        <v>ffFYXkaqrPSmqfQq9H1AYQ%253D%253D</v>
      </c>
      <c r="H92" s="1" t="str">
        <f>VLOOKUP(Port_Optimization_001[[#This Row],[POL CODE]],POL!F:H,3,0)</f>
        <v>IWsG%252BSSF6iojvpfUPa6XTQ%253D%253D</v>
      </c>
      <c r="I92" s="1" t="str">
        <f>_xlfn.IFNA(VLOOKUP(Port_Optimization_001[[#This Row],[POD CODE]],POD!F:H,3,0),"")</f>
        <v>1Cobu6af7PO5k9VHay4j%252Bg%253D%253D</v>
      </c>
    </row>
    <row r="93" spans="1:9" x14ac:dyDescent="0.3">
      <c r="A93" s="1" t="s">
        <v>1434</v>
      </c>
      <c r="B93" s="1" t="s">
        <v>1412</v>
      </c>
      <c r="C93" s="1" t="str">
        <f t="shared" si="2"/>
        <v>CNNGB</v>
      </c>
      <c r="D93" s="1" t="str">
        <f t="shared" si="3"/>
        <v>KHKOS</v>
      </c>
      <c r="E9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https://www.weiyun001.com/routePort?st=IWsG%252BSSF6iojvpfUPa6XTQ%253D%253D&amp;de=EVsBMZX0DHq4aZyn1LHQog%253D%253D&amp;rg=IWsG%252BSSF6iojvpfUPa6XTQ%253D%253D&amp;rt=NFL9cTznAaa4CBynkPs%252B6Q%253D%253D</v>
      </c>
      <c r="F93" s="1" t="str">
        <f>VLOOKUP(Port_Optimization_001[[#This Row],[POL CODE]],POL!F:H,2,0)</f>
        <v>IWsG%252BSSF6iojvpfUPa6XTQ%253D%253D</v>
      </c>
      <c r="G93" s="1" t="str">
        <f>_xlfn.IFNA(VLOOKUP(Port_Optimization_001[[#This Row],[POD CODE]],POD!F:H,2,0),"")</f>
        <v>EVsBMZX0DHq4aZyn1LHQog%253D%253D</v>
      </c>
      <c r="H93" s="1" t="str">
        <f>VLOOKUP(Port_Optimization_001[[#This Row],[POL CODE]],POL!F:H,3,0)</f>
        <v>IWsG%252BSSF6iojvpfUPa6XTQ%253D%253D</v>
      </c>
      <c r="I93" s="1" t="str">
        <f>_xlfn.IFNA(VLOOKUP(Port_Optimization_001[[#This Row],[POD CODE]],POD!F:H,3,0),"")</f>
        <v>NFL9cTznAaa4CBynkPs%252B6Q%253D%253D</v>
      </c>
    </row>
    <row r="94" spans="1:9" x14ac:dyDescent="0.3">
      <c r="A94" s="1" t="s">
        <v>1434</v>
      </c>
      <c r="B94" s="1" t="s">
        <v>1405</v>
      </c>
      <c r="C94" s="1" t="str">
        <f t="shared" si="2"/>
        <v>CNNGB</v>
      </c>
      <c r="D94" s="1" t="str">
        <f t="shared" si="3"/>
        <v>PHMNL</v>
      </c>
      <c r="E9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https://www.weiyun001.com/routePort?st=IWsG%252BSSF6iojvpfUPa6XTQ%253D%253D&amp;de=uYYEeJiaA%252BEFqhyuOo%252FKJg%253D%253D&amp;rg=IWsG%252BSSF6iojvpfUPa6XTQ%253D%253D&amp;rt=1Cobu6af7PO5k9VHay4j%252Bg%253D%253D</v>
      </c>
      <c r="F94" s="1" t="str">
        <f>VLOOKUP(Port_Optimization_001[[#This Row],[POL CODE]],POL!F:H,2,0)</f>
        <v>IWsG%252BSSF6iojvpfUPa6XTQ%253D%253D</v>
      </c>
      <c r="G94" s="1" t="str">
        <f>_xlfn.IFNA(VLOOKUP(Port_Optimization_001[[#This Row],[POD CODE]],POD!F:H,2,0),"")</f>
        <v>uYYEeJiaA%252BEFqhyuOo%252FKJg%253D%253D</v>
      </c>
      <c r="H94" s="1" t="str">
        <f>VLOOKUP(Port_Optimization_001[[#This Row],[POL CODE]],POL!F:H,3,0)</f>
        <v>IWsG%252BSSF6iojvpfUPa6XTQ%253D%253D</v>
      </c>
      <c r="I94" s="1" t="str">
        <f>_xlfn.IFNA(VLOOKUP(Port_Optimization_001[[#This Row],[POD CODE]],POD!F:H,3,0),"")</f>
        <v>1Cobu6af7PO5k9VHay4j%252Bg%253D%253D</v>
      </c>
    </row>
    <row r="95" spans="1:9" x14ac:dyDescent="0.3">
      <c r="A95" s="1" t="s">
        <v>1434</v>
      </c>
      <c r="B95" s="1" t="s">
        <v>1470</v>
      </c>
      <c r="C95" s="1" t="str">
        <f t="shared" si="2"/>
        <v>CNNGB</v>
      </c>
      <c r="D95" s="1" t="str">
        <f t="shared" si="3"/>
        <v>MYPEN</v>
      </c>
      <c r="E9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https://www.weiyun001.com/routePort?st=IWsG%252BSSF6iojvpfUPa6XTQ%253D%253D&amp;de=tVaiOFP7i%252Bq6FkaCrH4cPg%253D%253D&amp;rg=IWsG%252BSSF6iojvpfUPa6XTQ%253D%253D&amp;rt=NFL9cTznAaa4CBynkPs%252B6Q%253D%253D</v>
      </c>
      <c r="F95" s="1" t="str">
        <f>VLOOKUP(Port_Optimization_001[[#This Row],[POL CODE]],POL!F:H,2,0)</f>
        <v>IWsG%252BSSF6iojvpfUPa6XTQ%253D%253D</v>
      </c>
      <c r="G95" s="1" t="str">
        <f>_xlfn.IFNA(VLOOKUP(Port_Optimization_001[[#This Row],[POD CODE]],POD!F:H,2,0),"")</f>
        <v>tVaiOFP7i%252Bq6FkaCrH4cPg%253D%253D</v>
      </c>
      <c r="H95" s="1" t="str">
        <f>VLOOKUP(Port_Optimization_001[[#This Row],[POL CODE]],POL!F:H,3,0)</f>
        <v>IWsG%252BSSF6iojvpfUPa6XTQ%253D%253D</v>
      </c>
      <c r="I95" s="1" t="str">
        <f>_xlfn.IFNA(VLOOKUP(Port_Optimization_001[[#This Row],[POD CODE]],POD!F:H,3,0),"")</f>
        <v>NFL9cTznAaa4CBynkPs%252B6Q%253D%253D</v>
      </c>
    </row>
    <row r="96" spans="1:9" x14ac:dyDescent="0.3">
      <c r="A96" s="1" t="s">
        <v>1434</v>
      </c>
      <c r="B96" s="1" t="s">
        <v>1409</v>
      </c>
      <c r="C96" s="1" t="str">
        <f t="shared" si="2"/>
        <v>CNNGB</v>
      </c>
      <c r="D96" s="1" t="str">
        <f t="shared" si="3"/>
        <v>MYTPP</v>
      </c>
      <c r="E9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https://www.weiyun001.com/routePort?st=IWsG%252BSSF6iojvpfUPa6XTQ%253D%253D&amp;de=Zfdwz371n2fV4bpx64twzQ%253D%253D&amp;rg=IWsG%252BSSF6iojvpfUPa6XTQ%253D%253D&amp;rt=NFL9cTznAaa4CBynkPs%252B6Q%253D%253D</v>
      </c>
      <c r="F96" s="1" t="str">
        <f>VLOOKUP(Port_Optimization_001[[#This Row],[POL CODE]],POL!F:H,2,0)</f>
        <v>IWsG%252BSSF6iojvpfUPa6XTQ%253D%253D</v>
      </c>
      <c r="G96" s="1" t="str">
        <f>_xlfn.IFNA(VLOOKUP(Port_Optimization_001[[#This Row],[POD CODE]],POD!F:H,2,0),"")</f>
        <v>Zfdwz371n2fV4bpx64twzQ%253D%253D</v>
      </c>
      <c r="H96" s="1" t="str">
        <f>VLOOKUP(Port_Optimization_001[[#This Row],[POL CODE]],POL!F:H,3,0)</f>
        <v>IWsG%252BSSF6iojvpfUPa6XTQ%253D%253D</v>
      </c>
      <c r="I96" s="1" t="str">
        <f>_xlfn.IFNA(VLOOKUP(Port_Optimization_001[[#This Row],[POD CODE]],POD!F:H,3,0),"")</f>
        <v>NFL9cTznAaa4CBynkPs%252B6Q%253D%253D</v>
      </c>
    </row>
    <row r="97" spans="1:9" x14ac:dyDescent="0.3">
      <c r="A97" s="1" t="s">
        <v>1434</v>
      </c>
      <c r="B97" s="1" t="s">
        <v>1415</v>
      </c>
      <c r="C97" s="1" t="str">
        <f t="shared" si="2"/>
        <v>CNNGB</v>
      </c>
      <c r="D97" s="1" t="str">
        <f t="shared" si="3"/>
        <v>MYPKG</v>
      </c>
      <c r="E9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https://www.weiyun001.com/routePort?st=IWsG%252BSSF6iojvpfUPa6XTQ%253D%253D&amp;de=2WJxBRbU754HNWDDwVsKgQ%253D%253D&amp;rg=IWsG%252BSSF6iojvpfUPa6XTQ%253D%253D&amp;rt=NFL9cTznAaa4CBynkPs%252B6Q%253D%253D</v>
      </c>
      <c r="F97" s="1" t="str">
        <f>VLOOKUP(Port_Optimization_001[[#This Row],[POL CODE]],POL!F:H,2,0)</f>
        <v>IWsG%252BSSF6iojvpfUPa6XTQ%253D%253D</v>
      </c>
      <c r="G97" s="1" t="str">
        <f>_xlfn.IFNA(VLOOKUP(Port_Optimization_001[[#This Row],[POD CODE]],POD!F:H,2,0),"")</f>
        <v>2WJxBRbU754HNWDDwVsKgQ%253D%253D</v>
      </c>
      <c r="H97" s="1" t="str">
        <f>VLOOKUP(Port_Optimization_001[[#This Row],[POL CODE]],POL!F:H,3,0)</f>
        <v>IWsG%252BSSF6iojvpfUPa6XTQ%253D%253D</v>
      </c>
      <c r="I97" s="1" t="str">
        <f>_xlfn.IFNA(VLOOKUP(Port_Optimization_001[[#This Row],[POD CODE]],POD!F:H,3,0),"")</f>
        <v>NFL9cTznAaa4CBynkPs%252B6Q%253D%253D</v>
      </c>
    </row>
    <row r="98" spans="1:9" x14ac:dyDescent="0.3">
      <c r="A98" s="1" t="s">
        <v>1434</v>
      </c>
      <c r="B98" s="1" t="s">
        <v>1471</v>
      </c>
      <c r="C98" s="1" t="str">
        <f t="shared" si="2"/>
        <v>CNNGB</v>
      </c>
      <c r="D98" s="1" t="str">
        <f t="shared" si="3"/>
        <v>BDCGP</v>
      </c>
      <c r="E9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https://www.weiyun001.com/routePort?st=IWsG%252BSSF6iojvpfUPa6XTQ%253D%253D&amp;de=DI5vO7b5NtdrSNEEfjw64w%253D%253D&amp;rg=IWsG%252BSSF6iojvpfUPa6XTQ%253D%253D&amp;rt=ZY9R0ulrUtfklWEEetRGPg%253D%253D</v>
      </c>
      <c r="F98" s="1" t="str">
        <f>VLOOKUP(Port_Optimization_001[[#This Row],[POL CODE]],POL!F:H,2,0)</f>
        <v>IWsG%252BSSF6iojvpfUPa6XTQ%253D%253D</v>
      </c>
      <c r="G98" s="1" t="str">
        <f>_xlfn.IFNA(VLOOKUP(Port_Optimization_001[[#This Row],[POD CODE]],POD!F:H,2,0),"")</f>
        <v>DI5vO7b5NtdrSNEEfjw64w%253D%253D</v>
      </c>
      <c r="H98" s="1" t="str">
        <f>VLOOKUP(Port_Optimization_001[[#This Row],[POL CODE]],POL!F:H,3,0)</f>
        <v>IWsG%252BSSF6iojvpfUPa6XTQ%253D%253D</v>
      </c>
      <c r="I98" s="1" t="str">
        <f>_xlfn.IFNA(VLOOKUP(Port_Optimization_001[[#This Row],[POD CODE]],POD!F:H,3,0),"")</f>
        <v>ZY9R0ulrUtfklWEEetRGPg%253D%253D</v>
      </c>
    </row>
    <row r="99" spans="1:9" x14ac:dyDescent="0.3">
      <c r="A99" s="1" t="s">
        <v>1434</v>
      </c>
      <c r="B99" s="1" t="s">
        <v>1416</v>
      </c>
      <c r="C99" s="1" t="str">
        <f t="shared" si="2"/>
        <v>CNNGB</v>
      </c>
      <c r="D99" s="1" t="str">
        <f t="shared" si="3"/>
        <v>HKHKG</v>
      </c>
      <c r="E9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https://www.weiyun001.com/routePort?st=IWsG%252BSSF6iojvpfUPa6XTQ%253D%253D&amp;de=vMzSod%252BtWz6%252F7wRCS6eQNA%253D%253D&amp;rg=IWsG%252BSSF6iojvpfUPa6XTQ%253D%253D&amp;rt=Sf%252FJBtcqkoI65Fe6qmiQsA%253D%253D</v>
      </c>
      <c r="F99" s="1" t="str">
        <f>VLOOKUP(Port_Optimization_001[[#This Row],[POL CODE]],POL!F:H,2,0)</f>
        <v>IWsG%252BSSF6iojvpfUPa6XTQ%253D%253D</v>
      </c>
      <c r="G99" s="1" t="str">
        <f>_xlfn.IFNA(VLOOKUP(Port_Optimization_001[[#This Row],[POD CODE]],POD!F:H,2,0),"")</f>
        <v>vMzSod%252BtWz6%252F7wRCS6eQNA%253D%253D</v>
      </c>
      <c r="H99" s="1" t="str">
        <f>VLOOKUP(Port_Optimization_001[[#This Row],[POL CODE]],POL!F:H,3,0)</f>
        <v>IWsG%252BSSF6iojvpfUPa6XTQ%253D%253D</v>
      </c>
      <c r="I99" s="1" t="str">
        <f>_xlfn.IFNA(VLOOKUP(Port_Optimization_001[[#This Row],[POD CODE]],POD!F:H,3,0),"")</f>
        <v>Sf%252FJBtcqkoI65Fe6qmiQsA%253D%253D</v>
      </c>
    </row>
    <row r="100" spans="1:9" x14ac:dyDescent="0.3">
      <c r="A100" s="1" t="s">
        <v>1434</v>
      </c>
      <c r="B100" s="1" t="s">
        <v>1424</v>
      </c>
      <c r="C100" s="1" t="str">
        <f t="shared" si="2"/>
        <v>CNNGB</v>
      </c>
      <c r="D100" s="1" t="str">
        <f t="shared" si="3"/>
        <v>RUVVO</v>
      </c>
      <c r="E10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https://www.weiyun001.com/routePort?st=IWsG%252BSSF6iojvpfUPa6XTQ%253D%253D&amp;de=s0PPhkNj1tJW6BNaLsGHUw%253D%253D&amp;rg=IWsG%252BSSF6iojvpfUPa6XTQ%253D%253D&amp;rt=r8vdJELtQ6mqgPEUMkhs6w%253D%253D</v>
      </c>
      <c r="F100" s="1" t="str">
        <f>VLOOKUP(Port_Optimization_001[[#This Row],[POL CODE]],POL!F:H,2,0)</f>
        <v>IWsG%252BSSF6iojvpfUPa6XTQ%253D%253D</v>
      </c>
      <c r="G100" s="1" t="str">
        <f>_xlfn.IFNA(VLOOKUP(Port_Optimization_001[[#This Row],[POD CODE]],POD!F:H,2,0),"")</f>
        <v>s0PPhkNj1tJW6BNaLsGHUw%253D%253D</v>
      </c>
      <c r="H100" s="1" t="str">
        <f>VLOOKUP(Port_Optimization_001[[#This Row],[POL CODE]],POL!F:H,3,0)</f>
        <v>IWsG%252BSSF6iojvpfUPa6XTQ%253D%253D</v>
      </c>
      <c r="I100" s="1" t="str">
        <f>_xlfn.IFNA(VLOOKUP(Port_Optimization_001[[#This Row],[POD CODE]],POD!F:H,3,0),"")</f>
        <v>r8vdJELtQ6mqgPEUMkhs6w%253D%253D</v>
      </c>
    </row>
    <row r="101" spans="1:9" x14ac:dyDescent="0.3">
      <c r="A101" s="1" t="s">
        <v>1434</v>
      </c>
      <c r="B101" s="1" t="s">
        <v>1428</v>
      </c>
      <c r="C101" s="1" t="str">
        <f t="shared" si="2"/>
        <v>CNNGB</v>
      </c>
      <c r="D101" s="1" t="str">
        <f t="shared" si="3"/>
        <v>RUVYP</v>
      </c>
      <c r="E10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https://www.weiyun001.com/routePort?st=IWsG%252BSSF6iojvpfUPa6XTQ%253D%253D&amp;de=KlSWRjDAkivH8De8U2pqPQ%253D%253D&amp;rg=IWsG%252BSSF6iojvpfUPa6XTQ%253D%253D&amp;rt=r8vdJELtQ6mqgPEUMkhs6w%253D%253D</v>
      </c>
      <c r="F101" s="1" t="str">
        <f>VLOOKUP(Port_Optimization_001[[#This Row],[POL CODE]],POL!F:H,2,0)</f>
        <v>IWsG%252BSSF6iojvpfUPa6XTQ%253D%253D</v>
      </c>
      <c r="G101" s="1" t="str">
        <f>_xlfn.IFNA(VLOOKUP(Port_Optimization_001[[#This Row],[POD CODE]],POD!F:H,2,0),"")</f>
        <v>KlSWRjDAkivH8De8U2pqPQ%253D%253D</v>
      </c>
      <c r="H101" s="1" t="str">
        <f>VLOOKUP(Port_Optimization_001[[#This Row],[POL CODE]],POL!F:H,3,0)</f>
        <v>IWsG%252BSSF6iojvpfUPa6XTQ%253D%253D</v>
      </c>
      <c r="I101" s="1" t="str">
        <f>_xlfn.IFNA(VLOOKUP(Port_Optimization_001[[#This Row],[POD CODE]],POD!F:H,3,0),"")</f>
        <v>r8vdJELtQ6mqgPEUMkhs6w%253D%253D</v>
      </c>
    </row>
    <row r="102" spans="1:9" x14ac:dyDescent="0.3">
      <c r="A102" s="1" t="s">
        <v>1434</v>
      </c>
      <c r="B102" s="1" t="s">
        <v>1410</v>
      </c>
      <c r="C102" s="1" t="str">
        <f t="shared" si="2"/>
        <v>CNNGB</v>
      </c>
      <c r="D102" s="1" t="str">
        <f t="shared" si="3"/>
        <v>IDSUB</v>
      </c>
      <c r="E10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https://www.weiyun001.com/routePort?st=IWsG%252BSSF6iojvpfUPa6XTQ%253D%253D&amp;de=HlaejIbbmrtywbtr93rj1w%253D%253D&amp;rg=IWsG%252BSSF6iojvpfUPa6XTQ%253D%253D&amp;rt=1Cobu6af7PO5k9VHay4j%252Bg%253D%253D</v>
      </c>
      <c r="F102" s="1" t="str">
        <f>VLOOKUP(Port_Optimization_001[[#This Row],[POL CODE]],POL!F:H,2,0)</f>
        <v>IWsG%252BSSF6iojvpfUPa6XTQ%253D%253D</v>
      </c>
      <c r="G102" s="1" t="str">
        <f>_xlfn.IFNA(VLOOKUP(Port_Optimization_001[[#This Row],[POD CODE]],POD!F:H,2,0),"")</f>
        <v>HlaejIbbmrtywbtr93rj1w%253D%253D</v>
      </c>
      <c r="H102" s="1" t="str">
        <f>VLOOKUP(Port_Optimization_001[[#This Row],[POL CODE]],POL!F:H,3,0)</f>
        <v>IWsG%252BSSF6iojvpfUPa6XTQ%253D%253D</v>
      </c>
      <c r="I102" s="1" t="str">
        <f>_xlfn.IFNA(VLOOKUP(Port_Optimization_001[[#This Row],[POD CODE]],POD!F:H,3,0),"")</f>
        <v>1Cobu6af7PO5k9VHay4j%252Bg%253D%253D</v>
      </c>
    </row>
    <row r="103" spans="1:9" x14ac:dyDescent="0.3">
      <c r="A103" s="1" t="s">
        <v>1434</v>
      </c>
      <c r="B103" s="1" t="s">
        <v>1472</v>
      </c>
      <c r="C103" s="1" t="str">
        <f t="shared" si="2"/>
        <v>CNNGB</v>
      </c>
      <c r="D103" s="1" t="str">
        <f t="shared" si="3"/>
        <v>MMRGN</v>
      </c>
      <c r="E10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https://www.weiyun001.com/routePort?st=IWsG%252BSSF6iojvpfUPa6XTQ%253D%253D&amp;de=Oow219Y%252BoShTWKsSJGO%252BtQ%253D%253D&amp;rg=IWsG%252BSSF6iojvpfUPa6XTQ%253D%253D&amp;rt=NFL9cTznAaa4CBynkPs%252B6Q%253D%253D</v>
      </c>
      <c r="F103" s="1" t="str">
        <f>VLOOKUP(Port_Optimization_001[[#This Row],[POL CODE]],POL!F:H,2,0)</f>
        <v>IWsG%252BSSF6iojvpfUPa6XTQ%253D%253D</v>
      </c>
      <c r="G103" s="1" t="str">
        <f>_xlfn.IFNA(VLOOKUP(Port_Optimization_001[[#This Row],[POD CODE]],POD!F:H,2,0),"")</f>
        <v>Oow219Y%252BoShTWKsSJGO%252BtQ%253D%253D</v>
      </c>
      <c r="H103" s="1" t="str">
        <f>VLOOKUP(Port_Optimization_001[[#This Row],[POL CODE]],POL!F:H,3,0)</f>
        <v>IWsG%252BSSF6iojvpfUPa6XTQ%253D%253D</v>
      </c>
      <c r="I103" s="1" t="str">
        <f>_xlfn.IFNA(VLOOKUP(Port_Optimization_001[[#This Row],[POD CODE]],POD!F:H,3,0),"")</f>
        <v>NFL9cTznAaa4CBynkPs%252B6Q%253D%253D</v>
      </c>
    </row>
    <row r="104" spans="1:9" x14ac:dyDescent="0.3">
      <c r="A104" s="1" t="s">
        <v>1434</v>
      </c>
      <c r="B104" s="1" t="s">
        <v>1408</v>
      </c>
      <c r="C104" s="1" t="str">
        <f t="shared" si="2"/>
        <v>CNNGB</v>
      </c>
      <c r="D104" s="1" t="str">
        <f t="shared" si="3"/>
        <v>THLCH</v>
      </c>
      <c r="E10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https://www.weiyun001.com/routePort?st=IWsG%252BSSF6iojvpfUPa6XTQ%253D%253D&amp;de=OxmUlXWM%252FAUYd%252FPp1zlwDA%253D%253D&amp;rg=IWsG%252BSSF6iojvpfUPa6XTQ%253D%253D&amp;rt=NFL9cTznAaa4CBynkPs%252B6Q%253D%253D</v>
      </c>
      <c r="F104" s="1" t="str">
        <f>VLOOKUP(Port_Optimization_001[[#This Row],[POL CODE]],POL!F:H,2,0)</f>
        <v>IWsG%252BSSF6iojvpfUPa6XTQ%253D%253D</v>
      </c>
      <c r="G104" s="1" t="str">
        <f>_xlfn.IFNA(VLOOKUP(Port_Optimization_001[[#This Row],[POD CODE]],POD!F:H,2,0),"")</f>
        <v>OxmUlXWM%252FAUYd%252FPp1zlwDA%253D%253D</v>
      </c>
      <c r="H104" s="1" t="str">
        <f>VLOOKUP(Port_Optimization_001[[#This Row],[POL CODE]],POL!F:H,3,0)</f>
        <v>IWsG%252BSSF6iojvpfUPa6XTQ%253D%253D</v>
      </c>
      <c r="I104" s="1" t="str">
        <f>_xlfn.IFNA(VLOOKUP(Port_Optimization_001[[#This Row],[POD CODE]],POD!F:H,3,0),"")</f>
        <v>NFL9cTznAaa4CBynkPs%252B6Q%253D%253D</v>
      </c>
    </row>
    <row r="105" spans="1:9" x14ac:dyDescent="0.3">
      <c r="A105" s="1" t="s">
        <v>1434</v>
      </c>
      <c r="B105" s="1" t="s">
        <v>1411</v>
      </c>
      <c r="C105" s="1" t="str">
        <f t="shared" si="2"/>
        <v>CNNGB</v>
      </c>
      <c r="D105" s="1" t="str">
        <f t="shared" si="3"/>
        <v>SGSIN</v>
      </c>
      <c r="E10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https://www.weiyun001.com/routePort?st=IWsG%252BSSF6iojvpfUPa6XTQ%253D%253D&amp;de=YqmvNL3mswajMEBG16hT2A%253D%253D&amp;rg=IWsG%252BSSF6iojvpfUPa6XTQ%253D%253D&amp;rt=NFL9cTznAaa4CBynkPs%252B6Q%253D%253D</v>
      </c>
      <c r="F105" s="1" t="str">
        <f>VLOOKUP(Port_Optimization_001[[#This Row],[POL CODE]],POL!F:H,2,0)</f>
        <v>IWsG%252BSSF6iojvpfUPa6XTQ%253D%253D</v>
      </c>
      <c r="G105" s="1" t="str">
        <f>_xlfn.IFNA(VLOOKUP(Port_Optimization_001[[#This Row],[POD CODE]],POD!F:H,2,0),"")</f>
        <v>YqmvNL3mswajMEBG16hT2A%253D%253D</v>
      </c>
      <c r="H105" s="1" t="str">
        <f>VLOOKUP(Port_Optimization_001[[#This Row],[POL CODE]],POL!F:H,3,0)</f>
        <v>IWsG%252BSSF6iojvpfUPa6XTQ%253D%253D</v>
      </c>
      <c r="I105" s="1" t="str">
        <f>_xlfn.IFNA(VLOOKUP(Port_Optimization_001[[#This Row],[POD CODE]],POD!F:H,3,0),"")</f>
        <v>NFL9cTznAaa4CBynkPs%252B6Q%253D%253D</v>
      </c>
    </row>
    <row r="106" spans="1:9" x14ac:dyDescent="0.3">
      <c r="A106" s="1" t="s">
        <v>1434</v>
      </c>
      <c r="B106" s="1" t="s">
        <v>1414</v>
      </c>
      <c r="C106" s="1" t="str">
        <f t="shared" si="2"/>
        <v>CNNGB</v>
      </c>
      <c r="D106" s="1" t="str">
        <f t="shared" si="3"/>
        <v>MYPGU</v>
      </c>
      <c r="E10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https://www.weiyun001.com/routePort?st=IWsG%252BSSF6iojvpfUPa6XTQ%253D%253D&amp;de=ANDy0tuuXA3bR0I4F4vWhg%253D%253D&amp;rg=IWsG%252BSSF6iojvpfUPa6XTQ%253D%253D&amp;rt=NFL9cTznAaa4CBynkPs%252B6Q%253D%253D</v>
      </c>
      <c r="F106" s="1" t="str">
        <f>VLOOKUP(Port_Optimization_001[[#This Row],[POL CODE]],POL!F:H,2,0)</f>
        <v>IWsG%252BSSF6iojvpfUPa6XTQ%253D%253D</v>
      </c>
      <c r="G106" s="1" t="str">
        <f>_xlfn.IFNA(VLOOKUP(Port_Optimization_001[[#This Row],[POD CODE]],POD!F:H,2,0),"")</f>
        <v>ANDy0tuuXA3bR0I4F4vWhg%253D%253D</v>
      </c>
      <c r="H106" s="1" t="str">
        <f>VLOOKUP(Port_Optimization_001[[#This Row],[POL CODE]],POL!F:H,3,0)</f>
        <v>IWsG%252BSSF6iojvpfUPa6XTQ%253D%253D</v>
      </c>
      <c r="I106" s="1" t="str">
        <f>_xlfn.IFNA(VLOOKUP(Port_Optimization_001[[#This Row],[POD CODE]],POD!F:H,3,0),"")</f>
        <v>NFL9cTznAaa4CBynkPs%252B6Q%253D%253D</v>
      </c>
    </row>
    <row r="107" spans="1:9" x14ac:dyDescent="0.3">
      <c r="A107" s="1" t="s">
        <v>1434</v>
      </c>
      <c r="B107" s="1" t="s">
        <v>1417</v>
      </c>
      <c r="C107" s="1" t="str">
        <f t="shared" si="2"/>
        <v>CNNGB</v>
      </c>
      <c r="D107" s="1" t="str">
        <f t="shared" si="3"/>
        <v>KRPUS</v>
      </c>
      <c r="E10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https://www.weiyun001.com/routePort?st=IWsG%252BSSF6iojvpfUPa6XTQ%253D%253D&amp;de=8pLSQnjoVis1CMK2AzkKQA%253D%253D&amp;rg=IWsG%252BSSF6iojvpfUPa6XTQ%253D%253D&amp;rt=KylH8Pr1ynXpbeNIUggL%252FQ%253D%253D</v>
      </c>
      <c r="F107" s="1" t="str">
        <f>VLOOKUP(Port_Optimization_001[[#This Row],[POL CODE]],POL!F:H,2,0)</f>
        <v>IWsG%252BSSF6iojvpfUPa6XTQ%253D%253D</v>
      </c>
      <c r="G107" s="1" t="str">
        <f>_xlfn.IFNA(VLOOKUP(Port_Optimization_001[[#This Row],[POD CODE]],POD!F:H,2,0),"")</f>
        <v>8pLSQnjoVis1CMK2AzkKQA%253D%253D</v>
      </c>
      <c r="H107" s="1" t="str">
        <f>VLOOKUP(Port_Optimization_001[[#This Row],[POL CODE]],POL!F:H,3,0)</f>
        <v>IWsG%252BSSF6iojvpfUPa6XTQ%253D%253D</v>
      </c>
      <c r="I107" s="1" t="str">
        <f>_xlfn.IFNA(VLOOKUP(Port_Optimization_001[[#This Row],[POD CODE]],POD!F:H,3,0),"")</f>
        <v>KylH8Pr1ynXpbeNIUggL%252FQ%253D%253D</v>
      </c>
    </row>
    <row r="108" spans="1:9" x14ac:dyDescent="0.3">
      <c r="A108" s="1" t="s">
        <v>1434</v>
      </c>
      <c r="B108" s="1" t="s">
        <v>1473</v>
      </c>
      <c r="C108" s="1" t="str">
        <f t="shared" si="2"/>
        <v>CNNGB</v>
      </c>
      <c r="D108" s="1" t="str">
        <f t="shared" si="3"/>
        <v>TWTXG</v>
      </c>
      <c r="E10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https://www.weiyun001.com/routePort?st=IWsG%252BSSF6iojvpfUPa6XTQ%253D%253D&amp;de=ff8VYnnCdFQRVUSWGUZoBA%253D%253D&amp;rg=IWsG%252BSSF6iojvpfUPa6XTQ%253D%253D&amp;rt=Ha4nmfNgPHgKMiB9XpJc%252Bg%253D%253D</v>
      </c>
      <c r="F108" s="1" t="str">
        <f>VLOOKUP(Port_Optimization_001[[#This Row],[POL CODE]],POL!F:H,2,0)</f>
        <v>IWsG%252BSSF6iojvpfUPa6XTQ%253D%253D</v>
      </c>
      <c r="G108" s="1" t="str">
        <f>_xlfn.IFNA(VLOOKUP(Port_Optimization_001[[#This Row],[POD CODE]],POD!F:H,2,0),"")</f>
        <v>ff8VYnnCdFQRVUSWGUZoBA%253D%253D</v>
      </c>
      <c r="H108" s="1" t="str">
        <f>VLOOKUP(Port_Optimization_001[[#This Row],[POL CODE]],POL!F:H,3,0)</f>
        <v>IWsG%252BSSF6iojvpfUPa6XTQ%253D%253D</v>
      </c>
      <c r="I108" s="1" t="str">
        <f>_xlfn.IFNA(VLOOKUP(Port_Optimization_001[[#This Row],[POD CODE]],POD!F:H,3,0),"")</f>
        <v>Ha4nmfNgPHgKMiB9XpJc%252Bg%253D%253D</v>
      </c>
    </row>
    <row r="109" spans="1:9" x14ac:dyDescent="0.3">
      <c r="A109" s="1" t="s">
        <v>1434</v>
      </c>
      <c r="B109" s="1" t="s">
        <v>1433</v>
      </c>
      <c r="C109" s="1" t="str">
        <f t="shared" si="2"/>
        <v>CNNGB</v>
      </c>
      <c r="D109" s="1" t="str">
        <f t="shared" si="3"/>
        <v>KRINC</v>
      </c>
      <c r="E10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https://www.weiyun001.com/routePort?st=IWsG%252BSSF6iojvpfUPa6XTQ%253D%253D&amp;de=2UAI1gOlHKk%252FIsLwoS%252Fqdw%253D%253D&amp;rg=IWsG%252BSSF6iojvpfUPa6XTQ%253D%253D&amp;rt=KylH8Pr1ynXpbeNIUggL%252FQ%253D%253D</v>
      </c>
      <c r="F109" s="1" t="str">
        <f>VLOOKUP(Port_Optimization_001[[#This Row],[POL CODE]],POL!F:H,2,0)</f>
        <v>IWsG%252BSSF6iojvpfUPa6XTQ%253D%253D</v>
      </c>
      <c r="G109" s="1" t="str">
        <f>_xlfn.IFNA(VLOOKUP(Port_Optimization_001[[#This Row],[POD CODE]],POD!F:H,2,0),"")</f>
        <v>2UAI1gOlHKk%252FIsLwoS%252Fqdw%253D%253D</v>
      </c>
      <c r="H109" s="1" t="str">
        <f>VLOOKUP(Port_Optimization_001[[#This Row],[POL CODE]],POL!F:H,3,0)</f>
        <v>IWsG%252BSSF6iojvpfUPa6XTQ%253D%253D</v>
      </c>
      <c r="I109" s="1" t="str">
        <f>_xlfn.IFNA(VLOOKUP(Port_Optimization_001[[#This Row],[POD CODE]],POD!F:H,3,0),"")</f>
        <v>KylH8Pr1ynXpbeNIUggL%252FQ%253D%253D</v>
      </c>
    </row>
    <row r="110" spans="1:9" x14ac:dyDescent="0.3">
      <c r="A110" s="1" t="s">
        <v>1434</v>
      </c>
      <c r="B110" s="1" t="s">
        <v>1431</v>
      </c>
      <c r="C110" s="1" t="str">
        <f t="shared" si="2"/>
        <v>CNNGB</v>
      </c>
      <c r="D110" s="1" t="str">
        <f t="shared" si="3"/>
        <v>JPTYO</v>
      </c>
      <c r="E11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https://www.weiyun001.com/routePort?st=IWsG%252BSSF6iojvpfUPa6XTQ%253D%253D&amp;de=EYTjpOznR1kHh1upPcXcZQ%253D%253D&amp;rg=IWsG%252BSSF6iojvpfUPa6XTQ%253D%253D&amp;rt=RHiB9uH2veEacXFy%252F4no2w%253D%253D</v>
      </c>
      <c r="F110" s="1" t="str">
        <f>VLOOKUP(Port_Optimization_001[[#This Row],[POL CODE]],POL!F:H,2,0)</f>
        <v>IWsG%252BSSF6iojvpfUPa6XTQ%253D%253D</v>
      </c>
      <c r="G110" s="1" t="str">
        <f>_xlfn.IFNA(VLOOKUP(Port_Optimization_001[[#This Row],[POD CODE]],POD!F:H,2,0),"")</f>
        <v>EYTjpOznR1kHh1upPcXcZQ%253D%253D</v>
      </c>
      <c r="H110" s="1" t="str">
        <f>VLOOKUP(Port_Optimization_001[[#This Row],[POL CODE]],POL!F:H,3,0)</f>
        <v>IWsG%252BSSF6iojvpfUPa6XTQ%253D%253D</v>
      </c>
      <c r="I110" s="1" t="str">
        <f>_xlfn.IFNA(VLOOKUP(Port_Optimization_001[[#This Row],[POD CODE]],POD!F:H,3,0),"")</f>
        <v>RHiB9uH2veEacXFy%252F4no2w%253D%253D</v>
      </c>
    </row>
    <row r="111" spans="1:9" x14ac:dyDescent="0.3">
      <c r="A111" s="1" t="s">
        <v>1434</v>
      </c>
      <c r="B111" s="1" t="s">
        <v>1419</v>
      </c>
      <c r="C111" s="1" t="str">
        <f t="shared" si="2"/>
        <v>CNNGB</v>
      </c>
      <c r="D111" s="1" t="str">
        <f t="shared" si="3"/>
        <v>JPHTD</v>
      </c>
      <c r="E11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https://www.weiyun001.com/routePort?st=IWsG%252BSSF6iojvpfUPa6XTQ%253D%253D&amp;de=SW6Np5wmifEHSbIFC4MFyg%253D%253D&amp;rg=IWsG%252BSSF6iojvpfUPa6XTQ%253D%253D&amp;rt=RHiB9uH2veEacXFy%252F4no2w%253D%253D</v>
      </c>
      <c r="F111" s="1" t="str">
        <f>VLOOKUP(Port_Optimization_001[[#This Row],[POL CODE]],POL!F:H,2,0)</f>
        <v>IWsG%252BSSF6iojvpfUPa6XTQ%253D%253D</v>
      </c>
      <c r="G111" s="1" t="str">
        <f>_xlfn.IFNA(VLOOKUP(Port_Optimization_001[[#This Row],[POD CODE]],POD!F:H,2,0),"")</f>
        <v>SW6Np5wmifEHSbIFC4MFyg%253D%253D</v>
      </c>
      <c r="H111" s="1" t="str">
        <f>VLOOKUP(Port_Optimization_001[[#This Row],[POL CODE]],POL!F:H,3,0)</f>
        <v>IWsG%252BSSF6iojvpfUPa6XTQ%253D%253D</v>
      </c>
      <c r="I111" s="1" t="str">
        <f>_xlfn.IFNA(VLOOKUP(Port_Optimization_001[[#This Row],[POD CODE]],POD!F:H,3,0),"")</f>
        <v>RHiB9uH2veEacXFy%252F4no2w%253D%253D</v>
      </c>
    </row>
    <row r="112" spans="1:9" x14ac:dyDescent="0.3">
      <c r="A112" s="1" t="s">
        <v>1434</v>
      </c>
      <c r="B112" s="1" t="s">
        <v>1474</v>
      </c>
      <c r="C112" s="1" t="str">
        <f t="shared" si="2"/>
        <v>CNNGB</v>
      </c>
      <c r="D112" s="1" t="str">
        <f t="shared" si="3"/>
        <v>JPNGO</v>
      </c>
      <c r="E11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https://www.weiyun001.com/routePort?st=IWsG%252BSSF6iojvpfUPa6XTQ%253D%253D&amp;de=dbUO0BqxQw4h0hqlxw8ukw%253D%253D&amp;rg=IWsG%252BSSF6iojvpfUPa6XTQ%253D%253D&amp;rt=RHiB9uH2veEacXFy%252F4no2w%253D%253D</v>
      </c>
      <c r="F112" s="1" t="str">
        <f>VLOOKUP(Port_Optimization_001[[#This Row],[POL CODE]],POL!F:H,2,0)</f>
        <v>IWsG%252BSSF6iojvpfUPa6XTQ%253D%253D</v>
      </c>
      <c r="G112" s="1" t="str">
        <f>_xlfn.IFNA(VLOOKUP(Port_Optimization_001[[#This Row],[POD CODE]],POD!F:H,2,0),"")</f>
        <v>dbUO0BqxQw4h0hqlxw8ukw%253D%253D</v>
      </c>
      <c r="H112" s="1" t="str">
        <f>VLOOKUP(Port_Optimization_001[[#This Row],[POL CODE]],POL!F:H,3,0)</f>
        <v>IWsG%252BSSF6iojvpfUPa6XTQ%253D%253D</v>
      </c>
      <c r="I112" s="1" t="str">
        <f>_xlfn.IFNA(VLOOKUP(Port_Optimization_001[[#This Row],[POD CODE]],POD!F:H,3,0),"")</f>
        <v>RHiB9uH2veEacXFy%252F4no2w%253D%253D</v>
      </c>
    </row>
    <row r="113" spans="1:9" x14ac:dyDescent="0.3">
      <c r="A113" s="1" t="s">
        <v>1434</v>
      </c>
      <c r="B113" s="1" t="s">
        <v>1427</v>
      </c>
      <c r="C113" s="1" t="str">
        <f t="shared" si="2"/>
        <v>CNNGB</v>
      </c>
      <c r="D113" s="1" t="str">
        <f t="shared" si="3"/>
        <v>KRPTK</v>
      </c>
      <c r="E11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https://www.weiyun001.com/routePort?st=IWsG%252BSSF6iojvpfUPa6XTQ%253D%253D&amp;de=Tys%252FnB5n00pQrc%252Fq9NrIJQ%253D%253D&amp;rg=IWsG%252BSSF6iojvpfUPa6XTQ%253D%253D&amp;rt=KylH8Pr1ynXpbeNIUggL%252FQ%253D%253D</v>
      </c>
      <c r="F113" s="1" t="str">
        <f>VLOOKUP(Port_Optimization_001[[#This Row],[POL CODE]],POL!F:H,2,0)</f>
        <v>IWsG%252BSSF6iojvpfUPa6XTQ%253D%253D</v>
      </c>
      <c r="G113" s="1" t="str">
        <f>_xlfn.IFNA(VLOOKUP(Port_Optimization_001[[#This Row],[POD CODE]],POD!F:H,2,0),"")</f>
        <v>Tys%252FnB5n00pQrc%252Fq9NrIJQ%253D%253D</v>
      </c>
      <c r="H113" s="1" t="str">
        <f>VLOOKUP(Port_Optimization_001[[#This Row],[POL CODE]],POL!F:H,3,0)</f>
        <v>IWsG%252BSSF6iojvpfUPa6XTQ%253D%253D</v>
      </c>
      <c r="I113" s="1" t="str">
        <f>_xlfn.IFNA(VLOOKUP(Port_Optimization_001[[#This Row],[POD CODE]],POD!F:H,3,0),"")</f>
        <v>KylH8Pr1ynXpbeNIUggL%252FQ%253D%253D</v>
      </c>
    </row>
    <row r="114" spans="1:9" x14ac:dyDescent="0.3">
      <c r="A114" s="1" t="s">
        <v>1434</v>
      </c>
      <c r="B114" s="1" t="s">
        <v>1425</v>
      </c>
      <c r="C114" s="1" t="str">
        <f t="shared" si="2"/>
        <v>CNNGB</v>
      </c>
      <c r="D114" s="1" t="str">
        <f t="shared" si="3"/>
        <v>JPIMI</v>
      </c>
      <c r="E11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https://www.weiyun001.com/routePort?st=IWsG%252BSSF6iojvpfUPa6XTQ%253D%253D&amp;de=TRQAybxJZwVsM0rUBE%252Fc2g%253D%253D&amp;rg=IWsG%252BSSF6iojvpfUPa6XTQ%253D%253D&amp;rt=8qgsJj9tmT8zECAL0Nsagw%253D%253D</v>
      </c>
      <c r="F114" s="1" t="str">
        <f>VLOOKUP(Port_Optimization_001[[#This Row],[POL CODE]],POL!F:H,2,0)</f>
        <v>IWsG%252BSSF6iojvpfUPa6XTQ%253D%253D</v>
      </c>
      <c r="G114" s="1" t="str">
        <f>_xlfn.IFNA(VLOOKUP(Port_Optimization_001[[#This Row],[POD CODE]],POD!F:H,2,0),"")</f>
        <v>TRQAybxJZwVsM0rUBE%252Fc2g%253D%253D</v>
      </c>
      <c r="H114" s="1" t="str">
        <f>VLOOKUP(Port_Optimization_001[[#This Row],[POL CODE]],POL!F:H,3,0)</f>
        <v>IWsG%252BSSF6iojvpfUPa6XTQ%253D%253D</v>
      </c>
      <c r="I114" s="1" t="str">
        <f>_xlfn.IFNA(VLOOKUP(Port_Optimization_001[[#This Row],[POD CODE]],POD!F:H,3,0),"")</f>
        <v>8qgsJj9tmT8zECAL0Nsagw%253D%253D</v>
      </c>
    </row>
    <row r="115" spans="1:9" x14ac:dyDescent="0.3">
      <c r="A115" s="1" t="s">
        <v>1475</v>
      </c>
      <c r="B115" s="1" t="s">
        <v>1435</v>
      </c>
      <c r="C115" s="1" t="str">
        <f t="shared" si="2"/>
        <v>CNTAO</v>
      </c>
      <c r="D115" s="1" t="str">
        <f t="shared" si="3"/>
        <v>USLGB</v>
      </c>
      <c r="E11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https://www.weiyun001.com/routePort?st=MWZ6BhXSNqkOI0ZGa%252FiNmw%253D%253D&amp;de=S9X4TMR2ncdJuyYiyqnbig%253D%253D&amp;rg=MWZ6BhXSNqkOI0ZGa%252FiNmw%253D%253D&amp;rt=uCIAr5lckiHGmGe0VyVVkw%253D%253D</v>
      </c>
      <c r="F115" s="1" t="str">
        <f>VLOOKUP(Port_Optimization_001[[#This Row],[POL CODE]],POL!F:H,2,0)</f>
        <v>MWZ6BhXSNqkOI0ZGa%252FiNmw%253D%253D</v>
      </c>
      <c r="G115" s="1" t="str">
        <f>_xlfn.IFNA(VLOOKUP(Port_Optimization_001[[#This Row],[POD CODE]],POD!F:H,2,0),"")</f>
        <v>S9X4TMR2ncdJuyYiyqnbig%253D%253D</v>
      </c>
      <c r="H115" s="1" t="str">
        <f>VLOOKUP(Port_Optimization_001[[#This Row],[POL CODE]],POL!F:H,3,0)</f>
        <v>MWZ6BhXSNqkOI0ZGa%252FiNmw%253D%253D</v>
      </c>
      <c r="I115" s="1" t="str">
        <f>_xlfn.IFNA(VLOOKUP(Port_Optimization_001[[#This Row],[POD CODE]],POD!F:H,3,0),"")</f>
        <v>uCIAr5lckiHGmGe0VyVVkw%253D%253D</v>
      </c>
    </row>
    <row r="116" spans="1:9" x14ac:dyDescent="0.3">
      <c r="A116" s="1" t="s">
        <v>1475</v>
      </c>
      <c r="B116" s="1" t="s">
        <v>1438</v>
      </c>
      <c r="C116" s="1" t="str">
        <f t="shared" si="2"/>
        <v>CNTAO</v>
      </c>
      <c r="D116" s="1" t="str">
        <f t="shared" si="3"/>
        <v>USSEA</v>
      </c>
      <c r="E11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https://www.weiyun001.com/routePort?st=MWZ6BhXSNqkOI0ZGa%252FiNmw%253D%253D&amp;de=2FE9O8qTioozoj95jpvnWg%253D%253D&amp;rg=MWZ6BhXSNqkOI0ZGa%252FiNmw%253D%253D&amp;rt=uCIAr5lckiHGmGe0VyVVkw%253D%253D</v>
      </c>
      <c r="F116" s="1" t="str">
        <f>VLOOKUP(Port_Optimization_001[[#This Row],[POL CODE]],POL!F:H,2,0)</f>
        <v>MWZ6BhXSNqkOI0ZGa%252FiNmw%253D%253D</v>
      </c>
      <c r="G116" s="1" t="str">
        <f>_xlfn.IFNA(VLOOKUP(Port_Optimization_001[[#This Row],[POD CODE]],POD!F:H,2,0),"")</f>
        <v>2FE9O8qTioozoj95jpvnWg%253D%253D</v>
      </c>
      <c r="H116" s="1" t="str">
        <f>VLOOKUP(Port_Optimization_001[[#This Row],[POL CODE]],POL!F:H,3,0)</f>
        <v>MWZ6BhXSNqkOI0ZGa%252FiNmw%253D%253D</v>
      </c>
      <c r="I116" s="1" t="str">
        <f>_xlfn.IFNA(VLOOKUP(Port_Optimization_001[[#This Row],[POD CODE]],POD!F:H,3,0),"")</f>
        <v>uCIAr5lckiHGmGe0VyVVkw%253D%253D</v>
      </c>
    </row>
    <row r="117" spans="1:9" x14ac:dyDescent="0.3">
      <c r="A117" s="1" t="s">
        <v>1475</v>
      </c>
      <c r="B117" s="1" t="s">
        <v>1437</v>
      </c>
      <c r="C117" s="1" t="str">
        <f t="shared" si="2"/>
        <v>CNTAO</v>
      </c>
      <c r="D117" s="1" t="str">
        <f t="shared" si="3"/>
        <v>USTIW</v>
      </c>
      <c r="E11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https://www.weiyun001.com/routePort?st=MWZ6BhXSNqkOI0ZGa%252FiNmw%253D%253D&amp;de=zGTbVBH1MOiZD2ygklzJNQ%253D%253D&amp;rg=MWZ6BhXSNqkOI0ZGa%252FiNmw%253D%253D&amp;rt=uCIAr5lckiHGmGe0VyVVkw%253D%253D</v>
      </c>
      <c r="F117" s="1" t="str">
        <f>VLOOKUP(Port_Optimization_001[[#This Row],[POL CODE]],POL!F:H,2,0)</f>
        <v>MWZ6BhXSNqkOI0ZGa%252FiNmw%253D%253D</v>
      </c>
      <c r="G117" s="1" t="str">
        <f>_xlfn.IFNA(VLOOKUP(Port_Optimization_001[[#This Row],[POD CODE]],POD!F:H,2,0),"")</f>
        <v>zGTbVBH1MOiZD2ygklzJNQ%253D%253D</v>
      </c>
      <c r="H117" s="1" t="str">
        <f>VLOOKUP(Port_Optimization_001[[#This Row],[POL CODE]],POL!F:H,3,0)</f>
        <v>MWZ6BhXSNqkOI0ZGa%252FiNmw%253D%253D</v>
      </c>
      <c r="I117" s="1" t="str">
        <f>_xlfn.IFNA(VLOOKUP(Port_Optimization_001[[#This Row],[POD CODE]],POD!F:H,3,0),"")</f>
        <v>uCIAr5lckiHGmGe0VyVVkw%253D%253D</v>
      </c>
    </row>
    <row r="118" spans="1:9" x14ac:dyDescent="0.3">
      <c r="A118" s="1" t="s">
        <v>1475</v>
      </c>
      <c r="B118" s="1" t="s">
        <v>1436</v>
      </c>
      <c r="C118" s="1" t="str">
        <f t="shared" si="2"/>
        <v>CNTAO</v>
      </c>
      <c r="D118" s="1" t="str">
        <f t="shared" si="3"/>
        <v>USLAX</v>
      </c>
      <c r="E11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https://www.weiyun001.com/routePort?st=MWZ6BhXSNqkOI0ZGa%252FiNmw%253D%253D&amp;de=iwosRMDzfh0L9To05g8QbQ%253D%253D&amp;rg=MWZ6BhXSNqkOI0ZGa%252FiNmw%253D%253D&amp;rt=uCIAr5lckiHGmGe0VyVVkw%253D%253D</v>
      </c>
      <c r="F118" s="1" t="str">
        <f>VLOOKUP(Port_Optimization_001[[#This Row],[POL CODE]],POL!F:H,2,0)</f>
        <v>MWZ6BhXSNqkOI0ZGa%252FiNmw%253D%253D</v>
      </c>
      <c r="G118" s="1" t="str">
        <f>_xlfn.IFNA(VLOOKUP(Port_Optimization_001[[#This Row],[POD CODE]],POD!F:H,2,0),"")</f>
        <v>iwosRMDzfh0L9To05g8QbQ%253D%253D</v>
      </c>
      <c r="H118" s="1" t="str">
        <f>VLOOKUP(Port_Optimization_001[[#This Row],[POL CODE]],POL!F:H,3,0)</f>
        <v>MWZ6BhXSNqkOI0ZGa%252FiNmw%253D%253D</v>
      </c>
      <c r="I118" s="1" t="str">
        <f>_xlfn.IFNA(VLOOKUP(Port_Optimization_001[[#This Row],[POD CODE]],POD!F:H,3,0),"")</f>
        <v>uCIAr5lckiHGmGe0VyVVkw%253D%253D</v>
      </c>
    </row>
    <row r="119" spans="1:9" x14ac:dyDescent="0.3">
      <c r="A119" s="1" t="s">
        <v>1475</v>
      </c>
      <c r="B119" s="1" t="s">
        <v>1441</v>
      </c>
      <c r="C119" s="1" t="str">
        <f t="shared" si="2"/>
        <v>CNTAO</v>
      </c>
      <c r="D119" s="1" t="str">
        <f t="shared" si="3"/>
        <v>USNYC</v>
      </c>
      <c r="E11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https://www.weiyun001.com/routePort?st=MWZ6BhXSNqkOI0ZGa%252FiNmw%253D%253D&amp;de=SMCumFXp2sN6a1GTH%252F2okQ%253D%253D&amp;rg=MWZ6BhXSNqkOI0ZGa%252FiNmw%253D%253D&amp;rt=2iP9zD499VuttWpU6DlwqA%253D%253D</v>
      </c>
      <c r="F119" s="1" t="str">
        <f>VLOOKUP(Port_Optimization_001[[#This Row],[POL CODE]],POL!F:H,2,0)</f>
        <v>MWZ6BhXSNqkOI0ZGa%252FiNmw%253D%253D</v>
      </c>
      <c r="G119" s="1" t="str">
        <f>_xlfn.IFNA(VLOOKUP(Port_Optimization_001[[#This Row],[POD CODE]],POD!F:H,2,0),"")</f>
        <v>SMCumFXp2sN6a1GTH%252F2okQ%253D%253D</v>
      </c>
      <c r="H119" s="1" t="str">
        <f>VLOOKUP(Port_Optimization_001[[#This Row],[POL CODE]],POL!F:H,3,0)</f>
        <v>MWZ6BhXSNqkOI0ZGa%252FiNmw%253D%253D</v>
      </c>
      <c r="I119" s="1" t="str">
        <f>_xlfn.IFNA(VLOOKUP(Port_Optimization_001[[#This Row],[POD CODE]],POD!F:H,3,0),"")</f>
        <v>2iP9zD499VuttWpU6DlwqA%253D%253D</v>
      </c>
    </row>
    <row r="120" spans="1:9" x14ac:dyDescent="0.3">
      <c r="A120" s="1" t="s">
        <v>1475</v>
      </c>
      <c r="B120" s="1" t="s">
        <v>1430</v>
      </c>
      <c r="C120" s="1" t="str">
        <f t="shared" si="2"/>
        <v>CNTAO</v>
      </c>
      <c r="D120" s="1" t="str">
        <f t="shared" si="3"/>
        <v>CAVAN</v>
      </c>
      <c r="E12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https://www.weiyun001.com/routePort?st=MWZ6BhXSNqkOI0ZGa%252FiNmw%253D%253D&amp;de=1kkaoo2GPISaBR1Jx7dWKw%253D%253D&amp;rg=MWZ6BhXSNqkOI0ZGa%252FiNmw%253D%253D&amp;rt=ngG2%252FjG4NlHb5ZGdAHVP4g%253D%253D</v>
      </c>
      <c r="F120" s="1" t="str">
        <f>VLOOKUP(Port_Optimization_001[[#This Row],[POL CODE]],POL!F:H,2,0)</f>
        <v>MWZ6BhXSNqkOI0ZGa%252FiNmw%253D%253D</v>
      </c>
      <c r="G120" s="1" t="str">
        <f>_xlfn.IFNA(VLOOKUP(Port_Optimization_001[[#This Row],[POD CODE]],POD!F:H,2,0),"")</f>
        <v>1kkaoo2GPISaBR1Jx7dWKw%253D%253D</v>
      </c>
      <c r="H120" s="1" t="str">
        <f>VLOOKUP(Port_Optimization_001[[#This Row],[POL CODE]],POL!F:H,3,0)</f>
        <v>MWZ6BhXSNqkOI0ZGa%252FiNmw%253D%253D</v>
      </c>
      <c r="I120" s="1" t="str">
        <f>_xlfn.IFNA(VLOOKUP(Port_Optimization_001[[#This Row],[POD CODE]],POD!F:H,3,0),"")</f>
        <v>ngG2%252FjG4NlHb5ZGdAHVP4g%253D%253D</v>
      </c>
    </row>
    <row r="121" spans="1:9" x14ac:dyDescent="0.3">
      <c r="A121" s="1" t="s">
        <v>1475</v>
      </c>
      <c r="B121" s="1" t="s">
        <v>1442</v>
      </c>
      <c r="C121" s="1" t="str">
        <f t="shared" si="2"/>
        <v>CNTAO</v>
      </c>
      <c r="D121" s="1" t="str">
        <f t="shared" si="3"/>
        <v>CAPRR</v>
      </c>
      <c r="E12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https://www.weiyun001.com/routePort?st=MWZ6BhXSNqkOI0ZGa%252FiNmw%253D%253D&amp;de=QFhu1BLIxJ9f0F5WJSPNxA%253D%253D&amp;rg=MWZ6BhXSNqkOI0ZGa%252FiNmw%253D%253D&amp;rt=ngG2%252FjG4NlHb5ZGdAHVP4g%253D%253D</v>
      </c>
      <c r="F121" s="1" t="str">
        <f>VLOOKUP(Port_Optimization_001[[#This Row],[POL CODE]],POL!F:H,2,0)</f>
        <v>MWZ6BhXSNqkOI0ZGa%252FiNmw%253D%253D</v>
      </c>
      <c r="G121" s="1" t="str">
        <f>_xlfn.IFNA(VLOOKUP(Port_Optimization_001[[#This Row],[POD CODE]],POD!F:H,2,0),"")</f>
        <v>QFhu1BLIxJ9f0F5WJSPNxA%253D%253D</v>
      </c>
      <c r="H121" s="1" t="str">
        <f>VLOOKUP(Port_Optimization_001[[#This Row],[POL CODE]],POL!F:H,3,0)</f>
        <v>MWZ6BhXSNqkOI0ZGa%252FiNmw%253D%253D</v>
      </c>
      <c r="I121" s="1" t="str">
        <f>_xlfn.IFNA(VLOOKUP(Port_Optimization_001[[#This Row],[POD CODE]],POD!F:H,3,0),"")</f>
        <v>ngG2%252FjG4NlHb5ZGdAHVP4g%253D%253D</v>
      </c>
    </row>
    <row r="122" spans="1:9" x14ac:dyDescent="0.3">
      <c r="A122" s="1" t="s">
        <v>1475</v>
      </c>
      <c r="B122" s="1" t="s">
        <v>1398</v>
      </c>
      <c r="C122" s="1" t="str">
        <f t="shared" si="2"/>
        <v>CNTAO</v>
      </c>
      <c r="D122" s="1" t="str">
        <f t="shared" si="3"/>
        <v>MXZLO</v>
      </c>
      <c r="E12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https://www.weiyun001.com/routePort?st=MWZ6BhXSNqkOI0ZGa%252FiNmw%253D%253D&amp;de=2Hr1qa96pxp8yXraB9fpQw%253D%253D&amp;rg=MWZ6BhXSNqkOI0ZGa%252FiNmw%253D%253D&amp;rt=gR2po4rysa6ynGuDnPrqMA%253D%253D</v>
      </c>
      <c r="F122" s="1" t="str">
        <f>VLOOKUP(Port_Optimization_001[[#This Row],[POL CODE]],POL!F:H,2,0)</f>
        <v>MWZ6BhXSNqkOI0ZGa%252FiNmw%253D%253D</v>
      </c>
      <c r="G122" s="1" t="str">
        <f>_xlfn.IFNA(VLOOKUP(Port_Optimization_001[[#This Row],[POD CODE]],POD!F:H,2,0),"")</f>
        <v>2Hr1qa96pxp8yXraB9fpQw%253D%253D</v>
      </c>
      <c r="H122" s="1" t="str">
        <f>VLOOKUP(Port_Optimization_001[[#This Row],[POL CODE]],POL!F:H,3,0)</f>
        <v>MWZ6BhXSNqkOI0ZGa%252FiNmw%253D%253D</v>
      </c>
      <c r="I122" s="1" t="str">
        <f>_xlfn.IFNA(VLOOKUP(Port_Optimization_001[[#This Row],[POD CODE]],POD!F:H,3,0),"")</f>
        <v>gR2po4rysa6ynGuDnPrqMA%253D%253D</v>
      </c>
    </row>
    <row r="123" spans="1:9" x14ac:dyDescent="0.3">
      <c r="A123" s="1" t="s">
        <v>1475</v>
      </c>
      <c r="B123" s="1" t="s">
        <v>1449</v>
      </c>
      <c r="C123" s="1" t="str">
        <f t="shared" si="2"/>
        <v>CNTAO</v>
      </c>
      <c r="D123" s="1" t="str">
        <f t="shared" si="3"/>
        <v>RUNVS</v>
      </c>
      <c r="E12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https://www.weiyun001.com/routePort?st=MWZ6BhXSNqkOI0ZGa%252FiNmw%253D%253D&amp;de=MmR%252BVr7P8VwdE9cXHcRoVA%253D%253D&amp;rg=MWZ6BhXSNqkOI0ZGa%252FiNmw%253D%253D&amp;rt=r8vdJELtQ6mqgPEUMkhs6w%253D%253D</v>
      </c>
      <c r="F123" s="1" t="str">
        <f>VLOOKUP(Port_Optimization_001[[#This Row],[POL CODE]],POL!F:H,2,0)</f>
        <v>MWZ6BhXSNqkOI0ZGa%252FiNmw%253D%253D</v>
      </c>
      <c r="G123" s="1" t="str">
        <f>_xlfn.IFNA(VLOOKUP(Port_Optimization_001[[#This Row],[POD CODE]],POD!F:H,2,0),"")</f>
        <v>MmR%252BVr7P8VwdE9cXHcRoVA%253D%253D</v>
      </c>
      <c r="H123" s="1" t="str">
        <f>VLOOKUP(Port_Optimization_001[[#This Row],[POL CODE]],POL!F:H,3,0)</f>
        <v>MWZ6BhXSNqkOI0ZGa%252FiNmw%253D%253D</v>
      </c>
      <c r="I123" s="1" t="str">
        <f>_xlfn.IFNA(VLOOKUP(Port_Optimization_001[[#This Row],[POD CODE]],POD!F:H,3,0),"")</f>
        <v>r8vdJELtQ6mqgPEUMkhs6w%253D%253D</v>
      </c>
    </row>
    <row r="124" spans="1:9" x14ac:dyDescent="0.3">
      <c r="A124" s="1" t="s">
        <v>1475</v>
      </c>
      <c r="B124" s="1" t="s">
        <v>1400</v>
      </c>
      <c r="C124" s="1" t="str">
        <f t="shared" si="2"/>
        <v>CNTAO</v>
      </c>
      <c r="D124" s="1" t="str">
        <f t="shared" si="3"/>
        <v>NLRTM</v>
      </c>
      <c r="E12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https://www.weiyun001.com/routePort?st=MWZ6BhXSNqkOI0ZGa%252FiNmw%253D%253D&amp;de=h375AOSlvQCFgmjT%252F5HSqA%253D%253D&amp;rg=MWZ6BhXSNqkOI0ZGa%252FiNmw%253D%253D&amp;rt=IV85J0mX0Segto%252FH4Zk5Tg%253D%253D</v>
      </c>
      <c r="F124" s="1" t="str">
        <f>VLOOKUP(Port_Optimization_001[[#This Row],[POL CODE]],POL!F:H,2,0)</f>
        <v>MWZ6BhXSNqkOI0ZGa%252FiNmw%253D%253D</v>
      </c>
      <c r="G124" s="1" t="str">
        <f>_xlfn.IFNA(VLOOKUP(Port_Optimization_001[[#This Row],[POD CODE]],POD!F:H,2,0),"")</f>
        <v>h375AOSlvQCFgmjT%252F5HSqA%253D%253D</v>
      </c>
      <c r="H124" s="1" t="str">
        <f>VLOOKUP(Port_Optimization_001[[#This Row],[POL CODE]],POL!F:H,3,0)</f>
        <v>MWZ6BhXSNqkOI0ZGa%252FiNmw%253D%253D</v>
      </c>
      <c r="I124" s="1" t="str">
        <f>_xlfn.IFNA(VLOOKUP(Port_Optimization_001[[#This Row],[POD CODE]],POD!F:H,3,0),"")</f>
        <v>IV85J0mX0Segto%252FH4Zk5Tg%253D%253D</v>
      </c>
    </row>
    <row r="125" spans="1:9" x14ac:dyDescent="0.3">
      <c r="A125" s="1" t="s">
        <v>1475</v>
      </c>
      <c r="B125" s="1" t="s">
        <v>1399</v>
      </c>
      <c r="C125" s="1" t="str">
        <f t="shared" si="2"/>
        <v>CNTAO</v>
      </c>
      <c r="D125" s="1" t="str">
        <f t="shared" si="3"/>
        <v>GBFXT</v>
      </c>
      <c r="E12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https://www.weiyun001.com/routePort?st=MWZ6BhXSNqkOI0ZGa%252FiNmw%253D%253D&amp;de=lyIBtN5jVeYlTjYD7kLYaQ%253D%253D&amp;rg=MWZ6BhXSNqkOI0ZGa%252FiNmw%253D%253D&amp;rt=IV85J0mX0Segto%252FH4Zk5Tg%253D%253D</v>
      </c>
      <c r="F125" s="1" t="str">
        <f>VLOOKUP(Port_Optimization_001[[#This Row],[POL CODE]],POL!F:H,2,0)</f>
        <v>MWZ6BhXSNqkOI0ZGa%252FiNmw%253D%253D</v>
      </c>
      <c r="G125" s="1" t="str">
        <f>_xlfn.IFNA(VLOOKUP(Port_Optimization_001[[#This Row],[POD CODE]],POD!F:H,2,0),"")</f>
        <v>lyIBtN5jVeYlTjYD7kLYaQ%253D%253D</v>
      </c>
      <c r="H125" s="1" t="str">
        <f>VLOOKUP(Port_Optimization_001[[#This Row],[POL CODE]],POL!F:H,3,0)</f>
        <v>MWZ6BhXSNqkOI0ZGa%252FiNmw%253D%253D</v>
      </c>
      <c r="I125" s="1" t="str">
        <f>_xlfn.IFNA(VLOOKUP(Port_Optimization_001[[#This Row],[POD CODE]],POD!F:H,3,0),"")</f>
        <v>IV85J0mX0Segto%252FH4Zk5Tg%253D%253D</v>
      </c>
    </row>
    <row r="126" spans="1:9" x14ac:dyDescent="0.3">
      <c r="A126" s="1" t="s">
        <v>1475</v>
      </c>
      <c r="B126" s="1" t="s">
        <v>1447</v>
      </c>
      <c r="C126" s="1" t="str">
        <f t="shared" si="2"/>
        <v>CNTAO</v>
      </c>
      <c r="D126" s="1" t="str">
        <f t="shared" si="3"/>
        <v>ESVLC</v>
      </c>
      <c r="E12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https://www.weiyun001.com/routePort?st=MWZ6BhXSNqkOI0ZGa%252FiNmw%253D%253D&amp;de=PUkWEcWweA49bc%252BQ%252FHA6bw%253D%253D&amp;rg=MWZ6BhXSNqkOI0ZGa%252FiNmw%253D%253D&amp;rt=3U623zVBsOeXBLWrfPFQPg%253D%253D</v>
      </c>
      <c r="F126" s="1" t="str">
        <f>VLOOKUP(Port_Optimization_001[[#This Row],[POL CODE]],POL!F:H,2,0)</f>
        <v>MWZ6BhXSNqkOI0ZGa%252FiNmw%253D%253D</v>
      </c>
      <c r="G126" s="1" t="str">
        <f>_xlfn.IFNA(VLOOKUP(Port_Optimization_001[[#This Row],[POD CODE]],POD!F:H,2,0),"")</f>
        <v>PUkWEcWweA49bc%252BQ%252FHA6bw%253D%253D</v>
      </c>
      <c r="H126" s="1" t="str">
        <f>VLOOKUP(Port_Optimization_001[[#This Row],[POL CODE]],POL!F:H,3,0)</f>
        <v>MWZ6BhXSNqkOI0ZGa%252FiNmw%253D%253D</v>
      </c>
      <c r="I126" s="1" t="str">
        <f>_xlfn.IFNA(VLOOKUP(Port_Optimization_001[[#This Row],[POD CODE]],POD!F:H,3,0),"")</f>
        <v>3U623zVBsOeXBLWrfPFQPg%253D%253D</v>
      </c>
    </row>
    <row r="127" spans="1:9" x14ac:dyDescent="0.3">
      <c r="A127" s="1" t="s">
        <v>1475</v>
      </c>
      <c r="B127" s="1" t="s">
        <v>1448</v>
      </c>
      <c r="C127" s="1" t="str">
        <f t="shared" si="2"/>
        <v>CNTAO</v>
      </c>
      <c r="D127" s="1" t="str">
        <f t="shared" si="3"/>
        <v>SIKOP</v>
      </c>
      <c r="E12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https://www.weiyun001.com/routePort?st=MWZ6BhXSNqkOI0ZGa%252FiNmw%253D%253D&amp;de=ze98pM2WES%252B2CvfdjKQc3g%253D%253D&amp;rg=MWZ6BhXSNqkOI0ZGa%252FiNmw%253D%253D&amp;rt=%252B0OYVDebDGU4ZUDCUVe4uQ%253D%253D</v>
      </c>
      <c r="F127" s="1" t="str">
        <f>VLOOKUP(Port_Optimization_001[[#This Row],[POL CODE]],POL!F:H,2,0)</f>
        <v>MWZ6BhXSNqkOI0ZGa%252FiNmw%253D%253D</v>
      </c>
      <c r="G127" s="1" t="str">
        <f>_xlfn.IFNA(VLOOKUP(Port_Optimization_001[[#This Row],[POD CODE]],POD!F:H,2,0),"")</f>
        <v>ze98pM2WES%252B2CvfdjKQc3g%253D%253D</v>
      </c>
      <c r="H127" s="1" t="str">
        <f>VLOOKUP(Port_Optimization_001[[#This Row],[POL CODE]],POL!F:H,3,0)</f>
        <v>MWZ6BhXSNqkOI0ZGa%252FiNmw%253D%253D</v>
      </c>
      <c r="I127" s="1" t="str">
        <f>_xlfn.IFNA(VLOOKUP(Port_Optimization_001[[#This Row],[POD CODE]],POD!F:H,3,0),"")</f>
        <v>%252B0OYVDebDGU4ZUDCUVe4uQ%253D%253D</v>
      </c>
    </row>
    <row r="128" spans="1:9" x14ac:dyDescent="0.3">
      <c r="A128" s="1" t="s">
        <v>1475</v>
      </c>
      <c r="B128" s="1" t="s">
        <v>1401</v>
      </c>
      <c r="C128" s="1" t="str">
        <f t="shared" si="2"/>
        <v>CNTAO</v>
      </c>
      <c r="D128" s="1" t="str">
        <f t="shared" si="3"/>
        <v>TRIST</v>
      </c>
      <c r="E12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https://www.weiyun001.com/routePort?st=MWZ6BhXSNqkOI0ZGa%252FiNmw%253D%253D&amp;de=CWZLcxB%252BS05YPBCXZF1ZGg%253D%253D&amp;rg=MWZ6BhXSNqkOI0ZGa%252FiNmw%253D%253D&amp;rt=OWZDyLmv3WGtVP7oMbti8g%253D%253D</v>
      </c>
      <c r="F128" s="1" t="str">
        <f>VLOOKUP(Port_Optimization_001[[#This Row],[POL CODE]],POL!F:H,2,0)</f>
        <v>MWZ6BhXSNqkOI0ZGa%252FiNmw%253D%253D</v>
      </c>
      <c r="G128" s="1" t="str">
        <f>_xlfn.IFNA(VLOOKUP(Port_Optimization_001[[#This Row],[POD CODE]],POD!F:H,2,0),"")</f>
        <v>CWZLcxB%252BS05YPBCXZF1ZGg%253D%253D</v>
      </c>
      <c r="H128" s="1" t="str">
        <f>VLOOKUP(Port_Optimization_001[[#This Row],[POL CODE]],POL!F:H,3,0)</f>
        <v>MWZ6BhXSNqkOI0ZGa%252FiNmw%253D%253D</v>
      </c>
      <c r="I128" s="1" t="str">
        <f>_xlfn.IFNA(VLOOKUP(Port_Optimization_001[[#This Row],[POD CODE]],POD!F:H,3,0),"")</f>
        <v>OWZDyLmv3WGtVP7oMbti8g%253D%253D</v>
      </c>
    </row>
    <row r="129" spans="1:9" x14ac:dyDescent="0.3">
      <c r="A129" s="1" t="s">
        <v>1475</v>
      </c>
      <c r="B129" s="1" t="s">
        <v>1476</v>
      </c>
      <c r="C129" s="1" t="str">
        <f t="shared" si="2"/>
        <v>CNTAO</v>
      </c>
      <c r="D129" s="1" t="str">
        <f t="shared" si="3"/>
        <v>ESBCN</v>
      </c>
      <c r="E12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https://www.weiyun001.com/routePort?st=MWZ6BhXSNqkOI0ZGa%252FiNmw%253D%253D&amp;de=GrrDA5FZzdrE7CRr9jVlzA%253D%253D&amp;rg=MWZ6BhXSNqkOI0ZGa%252FiNmw%253D%253D&amp;rt=3U623zVBsOeXBLWrfPFQPg%253D%253D</v>
      </c>
      <c r="F129" s="1" t="str">
        <f>VLOOKUP(Port_Optimization_001[[#This Row],[POL CODE]],POL!F:H,2,0)</f>
        <v>MWZ6BhXSNqkOI0ZGa%252FiNmw%253D%253D</v>
      </c>
      <c r="G129" s="1" t="str">
        <f>_xlfn.IFNA(VLOOKUP(Port_Optimization_001[[#This Row],[POD CODE]],POD!F:H,2,0),"")</f>
        <v>GrrDA5FZzdrE7CRr9jVlzA%253D%253D</v>
      </c>
      <c r="H129" s="1" t="str">
        <f>VLOOKUP(Port_Optimization_001[[#This Row],[POL CODE]],POL!F:H,3,0)</f>
        <v>MWZ6BhXSNqkOI0ZGa%252FiNmw%253D%253D</v>
      </c>
      <c r="I129" s="1" t="str">
        <f>_xlfn.IFNA(VLOOKUP(Port_Optimization_001[[#This Row],[POD CODE]],POD!F:H,3,0),"")</f>
        <v>3U623zVBsOeXBLWrfPFQPg%253D%253D</v>
      </c>
    </row>
    <row r="130" spans="1:9" x14ac:dyDescent="0.3">
      <c r="A130" s="1" t="s">
        <v>1475</v>
      </c>
      <c r="B130" s="1" t="s">
        <v>1402</v>
      </c>
      <c r="C130" s="1" t="str">
        <f t="shared" ref="C130:C193" si="4">IF(_xlfn.TEXTBEFORE(_xlfn.TEXTAFTER(A130,"|"),"|")="CNRZH","CNTAO",_xlfn.TEXTBEFORE(_xlfn.TEXTAFTER(A130,"|"),"|"))</f>
        <v>CNTAO</v>
      </c>
      <c r="D130" s="1" t="str">
        <f t="shared" ref="D130:D193" si="5">_xlfn.TEXTBEFORE(_xlfn.TEXTAFTER(B130,"|"),"|")</f>
        <v>INNSA</v>
      </c>
      <c r="E13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https://www.weiyun001.com/routePort?st=MWZ6BhXSNqkOI0ZGa%252FiNmw%253D%253D&amp;de=jD0OvY0B6WYFRxQO7kBFtg%253D%253D&amp;rg=MWZ6BhXSNqkOI0ZGa%252FiNmw%253D%253D&amp;rt=ZY9R0ulrUtfklWEEetRGPg%253D%253D</v>
      </c>
      <c r="F130" s="1" t="str">
        <f>VLOOKUP(Port_Optimization_001[[#This Row],[POL CODE]],POL!F:H,2,0)</f>
        <v>MWZ6BhXSNqkOI0ZGa%252FiNmw%253D%253D</v>
      </c>
      <c r="G130" s="1" t="str">
        <f>_xlfn.IFNA(VLOOKUP(Port_Optimization_001[[#This Row],[POD CODE]],POD!F:H,2,0),"")</f>
        <v>jD0OvY0B6WYFRxQO7kBFtg%253D%253D</v>
      </c>
      <c r="H130" s="1" t="str">
        <f>VLOOKUP(Port_Optimization_001[[#This Row],[POL CODE]],POL!F:H,3,0)</f>
        <v>MWZ6BhXSNqkOI0ZGa%252FiNmw%253D%253D</v>
      </c>
      <c r="I130" s="1" t="str">
        <f>_xlfn.IFNA(VLOOKUP(Port_Optimization_001[[#This Row],[POD CODE]],POD!F:H,3,0),"")</f>
        <v>ZY9R0ulrUtfklWEEetRGPg%253D%253D</v>
      </c>
    </row>
    <row r="131" spans="1:9" x14ac:dyDescent="0.3">
      <c r="A131" s="1" t="s">
        <v>1475</v>
      </c>
      <c r="B131" s="1" t="s">
        <v>1450</v>
      </c>
      <c r="C131" s="1" t="str">
        <f t="shared" si="4"/>
        <v>CNTAO</v>
      </c>
      <c r="D131" s="1" t="str">
        <f t="shared" si="5"/>
        <v>INMAA</v>
      </c>
      <c r="E13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https://www.weiyun001.com/routePort?st=MWZ6BhXSNqkOI0ZGa%252FiNmw%253D%253D&amp;de=vO8vVJPTiBKbz9UAlx1vNQ%253D%253D&amp;rg=MWZ6BhXSNqkOI0ZGa%252FiNmw%253D%253D&amp;rt=ZY9R0ulrUtfklWEEetRGPg%253D%253D</v>
      </c>
      <c r="F131" s="1" t="str">
        <f>VLOOKUP(Port_Optimization_001[[#This Row],[POL CODE]],POL!F:H,2,0)</f>
        <v>MWZ6BhXSNqkOI0ZGa%252FiNmw%253D%253D</v>
      </c>
      <c r="G131" s="1" t="str">
        <f>_xlfn.IFNA(VLOOKUP(Port_Optimization_001[[#This Row],[POD CODE]],POD!F:H,2,0),"")</f>
        <v>vO8vVJPTiBKbz9UAlx1vNQ%253D%253D</v>
      </c>
      <c r="H131" s="1" t="str">
        <f>VLOOKUP(Port_Optimization_001[[#This Row],[POL CODE]],POL!F:H,3,0)</f>
        <v>MWZ6BhXSNqkOI0ZGa%252FiNmw%253D%253D</v>
      </c>
      <c r="I131" s="1" t="str">
        <f>_xlfn.IFNA(VLOOKUP(Port_Optimization_001[[#This Row],[POD CODE]],POD!F:H,3,0),"")</f>
        <v>ZY9R0ulrUtfklWEEetRGPg%253D%253D</v>
      </c>
    </row>
    <row r="132" spans="1:9" x14ac:dyDescent="0.3">
      <c r="A132" s="1" t="s">
        <v>1475</v>
      </c>
      <c r="B132" s="1" t="s">
        <v>1451</v>
      </c>
      <c r="C132" s="1" t="str">
        <f t="shared" si="4"/>
        <v>CNTAO</v>
      </c>
      <c r="D132" s="1" t="str">
        <f t="shared" si="5"/>
        <v>INMUN</v>
      </c>
      <c r="E13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https://www.weiyun001.com/routePort?st=MWZ6BhXSNqkOI0ZGa%252FiNmw%253D%253D&amp;de=%252BB9fmSKB17T0hrJwRG24Sg%253D%253D&amp;rg=MWZ6BhXSNqkOI0ZGa%252FiNmw%253D%253D&amp;rt=ZY9R0ulrUtfklWEEetRGPg%253D%253D</v>
      </c>
      <c r="F132" s="1" t="str">
        <f>VLOOKUP(Port_Optimization_001[[#This Row],[POL CODE]],POL!F:H,2,0)</f>
        <v>MWZ6BhXSNqkOI0ZGa%252FiNmw%253D%253D</v>
      </c>
      <c r="G132" s="1" t="str">
        <f>_xlfn.IFNA(VLOOKUP(Port_Optimization_001[[#This Row],[POD CODE]],POD!F:H,2,0),"")</f>
        <v>%252BB9fmSKB17T0hrJwRG24Sg%253D%253D</v>
      </c>
      <c r="H132" s="1" t="str">
        <f>VLOOKUP(Port_Optimization_001[[#This Row],[POL CODE]],POL!F:H,3,0)</f>
        <v>MWZ6BhXSNqkOI0ZGa%252FiNmw%253D%253D</v>
      </c>
      <c r="I132" s="1" t="str">
        <f>_xlfn.IFNA(VLOOKUP(Port_Optimization_001[[#This Row],[POD CODE]],POD!F:H,3,0),"")</f>
        <v>ZY9R0ulrUtfklWEEetRGPg%253D%253D</v>
      </c>
    </row>
    <row r="133" spans="1:9" x14ac:dyDescent="0.3">
      <c r="A133" s="1" t="s">
        <v>1475</v>
      </c>
      <c r="B133" s="1" t="s">
        <v>1452</v>
      </c>
      <c r="C133" s="1" t="str">
        <f t="shared" si="4"/>
        <v>CNTAO</v>
      </c>
      <c r="D133" s="1" t="str">
        <f t="shared" si="5"/>
        <v>PKKHI</v>
      </c>
      <c r="E13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https://www.weiyun001.com/routePort?st=MWZ6BhXSNqkOI0ZGa%252FiNmw%253D%253D&amp;de=3ez67yisC8fnVI5KVlpklg%253D%253D&amp;rg=MWZ6BhXSNqkOI0ZGa%252FiNmw%253D%253D&amp;rt=ZY9R0ulrUtfklWEEetRGPg%253D%253D</v>
      </c>
      <c r="F133" s="1" t="str">
        <f>VLOOKUP(Port_Optimization_001[[#This Row],[POL CODE]],POL!F:H,2,0)</f>
        <v>MWZ6BhXSNqkOI0ZGa%252FiNmw%253D%253D</v>
      </c>
      <c r="G133" s="1" t="str">
        <f>_xlfn.IFNA(VLOOKUP(Port_Optimization_001[[#This Row],[POD CODE]],POD!F:H,2,0),"")</f>
        <v>3ez67yisC8fnVI5KVlpklg%253D%253D</v>
      </c>
      <c r="H133" s="1" t="str">
        <f>VLOOKUP(Port_Optimization_001[[#This Row],[POL CODE]],POL!F:H,3,0)</f>
        <v>MWZ6BhXSNqkOI0ZGa%252FiNmw%253D%253D</v>
      </c>
      <c r="I133" s="1" t="str">
        <f>_xlfn.IFNA(VLOOKUP(Port_Optimization_001[[#This Row],[POD CODE]],POD!F:H,3,0),"")</f>
        <v>ZY9R0ulrUtfklWEEetRGPg%253D%253D</v>
      </c>
    </row>
    <row r="134" spans="1:9" x14ac:dyDescent="0.3">
      <c r="A134" s="1" t="s">
        <v>1475</v>
      </c>
      <c r="B134" s="1" t="s">
        <v>1454</v>
      </c>
      <c r="C134" s="1" t="str">
        <f t="shared" si="4"/>
        <v>CNTAO</v>
      </c>
      <c r="D134" s="1" t="str">
        <f t="shared" si="5"/>
        <v>LKCMB</v>
      </c>
      <c r="E13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https://www.weiyun001.com/routePort?st=MWZ6BhXSNqkOI0ZGa%252FiNmw%253D%253D&amp;de=q8WDyyHdjjx8XNBkkJqSWA%253D%253D&amp;rg=MWZ6BhXSNqkOI0ZGa%252FiNmw%253D%253D&amp;rt=ZY9R0ulrUtfklWEEetRGPg%253D%253D</v>
      </c>
      <c r="F134" s="1" t="str">
        <f>VLOOKUP(Port_Optimization_001[[#This Row],[POL CODE]],POL!F:H,2,0)</f>
        <v>MWZ6BhXSNqkOI0ZGa%252FiNmw%253D%253D</v>
      </c>
      <c r="G134" s="1" t="str">
        <f>_xlfn.IFNA(VLOOKUP(Port_Optimization_001[[#This Row],[POD CODE]],POD!F:H,2,0),"")</f>
        <v>q8WDyyHdjjx8XNBkkJqSWA%253D%253D</v>
      </c>
      <c r="H134" s="1" t="str">
        <f>VLOOKUP(Port_Optimization_001[[#This Row],[POL CODE]],POL!F:H,3,0)</f>
        <v>MWZ6BhXSNqkOI0ZGa%252FiNmw%253D%253D</v>
      </c>
      <c r="I134" s="1" t="str">
        <f>_xlfn.IFNA(VLOOKUP(Port_Optimization_001[[#This Row],[POD CODE]],POD!F:H,3,0),"")</f>
        <v>ZY9R0ulrUtfklWEEetRGPg%253D%253D</v>
      </c>
    </row>
    <row r="135" spans="1:9" x14ac:dyDescent="0.3">
      <c r="A135" s="1" t="s">
        <v>1475</v>
      </c>
      <c r="B135" s="1" t="s">
        <v>1403</v>
      </c>
      <c r="C135" s="1" t="str">
        <f t="shared" si="4"/>
        <v>CNTAO</v>
      </c>
      <c r="D135" s="1" t="str">
        <f t="shared" si="5"/>
        <v>AEJEA</v>
      </c>
      <c r="E13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https://www.weiyun001.com/routePort?st=MWZ6BhXSNqkOI0ZGa%252FiNmw%253D%253D&amp;de=SbjTwb99PCeDQHDeZwEvvA%253D%253D&amp;rg=MWZ6BhXSNqkOI0ZGa%252FiNmw%253D%253D&amp;rt=nIJ3Uyv%252Bm7qB2PS5QvkN1A%253D%253D</v>
      </c>
      <c r="F135" s="1" t="str">
        <f>VLOOKUP(Port_Optimization_001[[#This Row],[POL CODE]],POL!F:H,2,0)</f>
        <v>MWZ6BhXSNqkOI0ZGa%252FiNmw%253D%253D</v>
      </c>
      <c r="G135" s="1" t="str">
        <f>_xlfn.IFNA(VLOOKUP(Port_Optimization_001[[#This Row],[POD CODE]],POD!F:H,2,0),"")</f>
        <v>SbjTwb99PCeDQHDeZwEvvA%253D%253D</v>
      </c>
      <c r="H135" s="1" t="str">
        <f>VLOOKUP(Port_Optimization_001[[#This Row],[POL CODE]],POL!F:H,3,0)</f>
        <v>MWZ6BhXSNqkOI0ZGa%252FiNmw%253D%253D</v>
      </c>
      <c r="I135" s="1" t="str">
        <f>_xlfn.IFNA(VLOOKUP(Port_Optimization_001[[#This Row],[POD CODE]],POD!F:H,3,0),"")</f>
        <v>nIJ3Uyv%252Bm7qB2PS5QvkN1A%253D%253D</v>
      </c>
    </row>
    <row r="136" spans="1:9" x14ac:dyDescent="0.3">
      <c r="A136" s="1" t="s">
        <v>1475</v>
      </c>
      <c r="B136" s="1" t="s">
        <v>1455</v>
      </c>
      <c r="C136" s="1" t="str">
        <f t="shared" si="4"/>
        <v>CNTAO</v>
      </c>
      <c r="D136" s="1" t="str">
        <f t="shared" si="5"/>
        <v>SADMM</v>
      </c>
      <c r="E13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https://www.weiyun001.com/routePort?st=MWZ6BhXSNqkOI0ZGa%252FiNmw%253D%253D&amp;de=avCPiTfdl2v%252BuDHEPYQkLw%253D%253D&amp;rg=MWZ6BhXSNqkOI0ZGa%252FiNmw%253D%253D&amp;rt=nIJ3Uyv%252Bm7qB2PS5QvkN1A%253D%253D</v>
      </c>
      <c r="F136" s="1" t="str">
        <f>VLOOKUP(Port_Optimization_001[[#This Row],[POL CODE]],POL!F:H,2,0)</f>
        <v>MWZ6BhXSNqkOI0ZGa%252FiNmw%253D%253D</v>
      </c>
      <c r="G136" s="1" t="str">
        <f>_xlfn.IFNA(VLOOKUP(Port_Optimization_001[[#This Row],[POD CODE]],POD!F:H,2,0),"")</f>
        <v>avCPiTfdl2v%252BuDHEPYQkLw%253D%253D</v>
      </c>
      <c r="H136" s="1" t="str">
        <f>VLOOKUP(Port_Optimization_001[[#This Row],[POL CODE]],POL!F:H,3,0)</f>
        <v>MWZ6BhXSNqkOI0ZGa%252FiNmw%253D%253D</v>
      </c>
      <c r="I136" s="1" t="str">
        <f>_xlfn.IFNA(VLOOKUP(Port_Optimization_001[[#This Row],[POD CODE]],POD!F:H,3,0),"")</f>
        <v>nIJ3Uyv%252Bm7qB2PS5QvkN1A%253D%253D</v>
      </c>
    </row>
    <row r="137" spans="1:9" x14ac:dyDescent="0.3">
      <c r="A137" s="1" t="s">
        <v>1475</v>
      </c>
      <c r="B137" s="1" t="s">
        <v>1456</v>
      </c>
      <c r="C137" s="1" t="str">
        <f t="shared" si="4"/>
        <v>CNTAO</v>
      </c>
      <c r="D137" s="1" t="str">
        <f t="shared" si="5"/>
        <v>SAJED</v>
      </c>
      <c r="E13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https://www.weiyun001.com/routePort?st=MWZ6BhXSNqkOI0ZGa%252FiNmw%253D%253D&amp;de=A8b%252BKvd%252FrH3knmwPYJlW9A%253D%253D&amp;rg=MWZ6BhXSNqkOI0ZGa%252FiNmw%253D%253D&amp;rt=B8CCxPgTyTKHS6UWEi7E0Q%253D%253D</v>
      </c>
      <c r="F137" s="1" t="str">
        <f>VLOOKUP(Port_Optimization_001[[#This Row],[POL CODE]],POL!F:H,2,0)</f>
        <v>MWZ6BhXSNqkOI0ZGa%252FiNmw%253D%253D</v>
      </c>
      <c r="G137" s="1" t="str">
        <f>_xlfn.IFNA(VLOOKUP(Port_Optimization_001[[#This Row],[POD CODE]],POD!F:H,2,0),"")</f>
        <v>A8b%252BKvd%252FrH3knmwPYJlW9A%253D%253D</v>
      </c>
      <c r="H137" s="1" t="str">
        <f>VLOOKUP(Port_Optimization_001[[#This Row],[POL CODE]],POL!F:H,3,0)</f>
        <v>MWZ6BhXSNqkOI0ZGa%252FiNmw%253D%253D</v>
      </c>
      <c r="I137" s="1" t="str">
        <f>_xlfn.IFNA(VLOOKUP(Port_Optimization_001[[#This Row],[POD CODE]],POD!F:H,3,0),"")</f>
        <v>B8CCxPgTyTKHS6UWEi7E0Q%253D%253D</v>
      </c>
    </row>
    <row r="138" spans="1:9" x14ac:dyDescent="0.3">
      <c r="A138" s="1" t="s">
        <v>1475</v>
      </c>
      <c r="B138" s="1" t="s">
        <v>1457</v>
      </c>
      <c r="C138" s="1" t="str">
        <f t="shared" si="4"/>
        <v>CNTAO</v>
      </c>
      <c r="D138" s="1" t="str">
        <f t="shared" si="5"/>
        <v>KEMBA</v>
      </c>
      <c r="E13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https://www.weiyun001.com/routePort?st=MWZ6BhXSNqkOI0ZGa%252FiNmw%253D%253D&amp;de=Ox%252BalV3lY9wwJSuwc0t6mA%253D%253D&amp;rg=MWZ6BhXSNqkOI0ZGa%252FiNmw%253D%253D&amp;rt=Y6Ds6Vz9%252B77grs71XHIolA%253D%253D</v>
      </c>
      <c r="F138" s="1" t="str">
        <f>VLOOKUP(Port_Optimization_001[[#This Row],[POL CODE]],POL!F:H,2,0)</f>
        <v>MWZ6BhXSNqkOI0ZGa%252FiNmw%253D%253D</v>
      </c>
      <c r="G138" s="1" t="str">
        <f>_xlfn.IFNA(VLOOKUP(Port_Optimization_001[[#This Row],[POD CODE]],POD!F:H,2,0),"")</f>
        <v>Ox%252BalV3lY9wwJSuwc0t6mA%253D%253D</v>
      </c>
      <c r="H138" s="1" t="str">
        <f>VLOOKUP(Port_Optimization_001[[#This Row],[POL CODE]],POL!F:H,3,0)</f>
        <v>MWZ6BhXSNqkOI0ZGa%252FiNmw%253D%253D</v>
      </c>
      <c r="I138" s="1" t="str">
        <f>_xlfn.IFNA(VLOOKUP(Port_Optimization_001[[#This Row],[POD CODE]],POD!F:H,3,0),"")</f>
        <v>Y6Ds6Vz9%252B77grs71XHIolA%253D%253D</v>
      </c>
    </row>
    <row r="139" spans="1:9" x14ac:dyDescent="0.3">
      <c r="A139" s="1" t="s">
        <v>1475</v>
      </c>
      <c r="B139" s="1" t="s">
        <v>1458</v>
      </c>
      <c r="C139" s="1" t="str">
        <f t="shared" si="4"/>
        <v>CNTAO</v>
      </c>
      <c r="D139" s="1" t="str">
        <f t="shared" si="5"/>
        <v>ZADUR</v>
      </c>
      <c r="E13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https://www.weiyun001.com/routePort?st=MWZ6BhXSNqkOI0ZGa%252FiNmw%253D%253D&amp;de=u95MZzsr9eG2WvFJUQj%252Ffw%253D%253D&amp;rg=MWZ6BhXSNqkOI0ZGa%252FiNmw%253D%253D&amp;rt=lvNGjfh1u3F8DS5kPLxDEQ%253D%253D</v>
      </c>
      <c r="F139" s="1" t="str">
        <f>VLOOKUP(Port_Optimization_001[[#This Row],[POL CODE]],POL!F:H,2,0)</f>
        <v>MWZ6BhXSNqkOI0ZGa%252FiNmw%253D%253D</v>
      </c>
      <c r="G139" s="1" t="str">
        <f>_xlfn.IFNA(VLOOKUP(Port_Optimization_001[[#This Row],[POD CODE]],POD!F:H,2,0),"")</f>
        <v>u95MZzsr9eG2WvFJUQj%252Ffw%253D%253D</v>
      </c>
      <c r="H139" s="1" t="str">
        <f>VLOOKUP(Port_Optimization_001[[#This Row],[POL CODE]],POL!F:H,3,0)</f>
        <v>MWZ6BhXSNqkOI0ZGa%252FiNmw%253D%253D</v>
      </c>
      <c r="I139" s="1" t="str">
        <f>_xlfn.IFNA(VLOOKUP(Port_Optimization_001[[#This Row],[POD CODE]],POD!F:H,3,0),"")</f>
        <v>lvNGjfh1u3F8DS5kPLxDEQ%253D%253D</v>
      </c>
    </row>
    <row r="140" spans="1:9" x14ac:dyDescent="0.3">
      <c r="A140" s="1" t="s">
        <v>1475</v>
      </c>
      <c r="B140" s="1" t="s">
        <v>1460</v>
      </c>
      <c r="C140" s="1" t="str">
        <f t="shared" si="4"/>
        <v>CNTAO</v>
      </c>
      <c r="D140" s="1" t="str">
        <f t="shared" si="5"/>
        <v>CGPNR</v>
      </c>
      <c r="E14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https://www.weiyun001.com/routePort?st=MWZ6BhXSNqkOI0ZGa%252FiNmw%253D%253D&amp;de=gMaWZtMygUlEwJuqZRv9Rw%253D%253D&amp;rg=MWZ6BhXSNqkOI0ZGa%252FiNmw%253D%253D&amp;rt=d4cKFtsNQdHrm3NULzwm1w%253D%253D</v>
      </c>
      <c r="F140" s="1" t="str">
        <f>VLOOKUP(Port_Optimization_001[[#This Row],[POL CODE]],POL!F:H,2,0)</f>
        <v>MWZ6BhXSNqkOI0ZGa%252FiNmw%253D%253D</v>
      </c>
      <c r="G140" s="1" t="str">
        <f>_xlfn.IFNA(VLOOKUP(Port_Optimization_001[[#This Row],[POD CODE]],POD!F:H,2,0),"")</f>
        <v>gMaWZtMygUlEwJuqZRv9Rw%253D%253D</v>
      </c>
      <c r="H140" s="1" t="str">
        <f>VLOOKUP(Port_Optimization_001[[#This Row],[POL CODE]],POL!F:H,3,0)</f>
        <v>MWZ6BhXSNqkOI0ZGa%252FiNmw%253D%253D</v>
      </c>
      <c r="I140" s="1" t="str">
        <f>_xlfn.IFNA(VLOOKUP(Port_Optimization_001[[#This Row],[POD CODE]],POD!F:H,3,0),"")</f>
        <v>d4cKFtsNQdHrm3NULzwm1w%253D%253D</v>
      </c>
    </row>
    <row r="141" spans="1:9" x14ac:dyDescent="0.3">
      <c r="A141" s="1" t="s">
        <v>1475</v>
      </c>
      <c r="B141" s="1" t="s">
        <v>1461</v>
      </c>
      <c r="C141" s="1" t="str">
        <f t="shared" si="4"/>
        <v>CNTAO</v>
      </c>
      <c r="D141" s="1" t="str">
        <f t="shared" si="5"/>
        <v>GHTEM</v>
      </c>
      <c r="E14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https://www.weiyun001.com/routePort?st=MWZ6BhXSNqkOI0ZGa%252FiNmw%253D%253D&amp;de=kB%252BdZmqU8TS1XETJO7LmbQ%253D%253D&amp;rg=MWZ6BhXSNqkOI0ZGa%252FiNmw%253D%253D&amp;rt=d4cKFtsNQdHrm3NULzwm1w%253D%253D</v>
      </c>
      <c r="F141" s="1" t="str">
        <f>VLOOKUP(Port_Optimization_001[[#This Row],[POL CODE]],POL!F:H,2,0)</f>
        <v>MWZ6BhXSNqkOI0ZGa%252FiNmw%253D%253D</v>
      </c>
      <c r="G141" s="1" t="str">
        <f>_xlfn.IFNA(VLOOKUP(Port_Optimization_001[[#This Row],[POD CODE]],POD!F:H,2,0),"")</f>
        <v>kB%252BdZmqU8TS1XETJO7LmbQ%253D%253D</v>
      </c>
      <c r="H141" s="1" t="str">
        <f>VLOOKUP(Port_Optimization_001[[#This Row],[POL CODE]],POL!F:H,3,0)</f>
        <v>MWZ6BhXSNqkOI0ZGa%252FiNmw%253D%253D</v>
      </c>
      <c r="I141" s="1" t="str">
        <f>_xlfn.IFNA(VLOOKUP(Port_Optimization_001[[#This Row],[POD CODE]],POD!F:H,3,0),"")</f>
        <v>d4cKFtsNQdHrm3NULzwm1w%253D%253D</v>
      </c>
    </row>
    <row r="142" spans="1:9" x14ac:dyDescent="0.3">
      <c r="A142" s="1" t="s">
        <v>1475</v>
      </c>
      <c r="B142" s="1" t="s">
        <v>1463</v>
      </c>
      <c r="C142" s="1" t="str">
        <f t="shared" si="4"/>
        <v>CNTAO</v>
      </c>
      <c r="D142" s="1" t="str">
        <f t="shared" si="5"/>
        <v>COBUN</v>
      </c>
      <c r="E14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https://www.weiyun001.com/routePort?st=MWZ6BhXSNqkOI0ZGa%252FiNmw%253D%253D&amp;de=w5DjD0wJyInHt9f5k%252BKAIg%253D%253D&amp;rg=MWZ6BhXSNqkOI0ZGa%252FiNmw%253D%253D&amp;rt=rSDolrCl4cQcOeyAyTf1zg%253D%253D</v>
      </c>
      <c r="F142" s="1" t="str">
        <f>VLOOKUP(Port_Optimization_001[[#This Row],[POL CODE]],POL!F:H,2,0)</f>
        <v>MWZ6BhXSNqkOI0ZGa%252FiNmw%253D%253D</v>
      </c>
      <c r="G142" s="1" t="str">
        <f>_xlfn.IFNA(VLOOKUP(Port_Optimization_001[[#This Row],[POD CODE]],POD!F:H,2,0),"")</f>
        <v>w5DjD0wJyInHt9f5k%252BKAIg%253D%253D</v>
      </c>
      <c r="H142" s="1" t="str">
        <f>VLOOKUP(Port_Optimization_001[[#This Row],[POL CODE]],POL!F:H,3,0)</f>
        <v>MWZ6BhXSNqkOI0ZGa%252FiNmw%253D%253D</v>
      </c>
      <c r="I142" s="1" t="str">
        <f>_xlfn.IFNA(VLOOKUP(Port_Optimization_001[[#This Row],[POD CODE]],POD!F:H,3,0),"")</f>
        <v>rSDolrCl4cQcOeyAyTf1zg%253D%253D</v>
      </c>
    </row>
    <row r="143" spans="1:9" x14ac:dyDescent="0.3">
      <c r="A143" s="1" t="s">
        <v>1475</v>
      </c>
      <c r="B143" s="1" t="s">
        <v>1464</v>
      </c>
      <c r="C143" s="1" t="str">
        <f t="shared" si="4"/>
        <v>CNTAO</v>
      </c>
      <c r="D143" s="1" t="str">
        <f t="shared" si="5"/>
        <v>CLSAI</v>
      </c>
      <c r="E14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https://www.weiyun001.com/routePort?st=MWZ6BhXSNqkOI0ZGa%252FiNmw%253D%253D&amp;de=X8GcDe9OXacnotj9q6RhWg%253D%253D&amp;rg=MWZ6BhXSNqkOI0ZGa%252FiNmw%253D%253D&amp;rt=rSDolrCl4cQcOeyAyTf1zg%253D%253D</v>
      </c>
      <c r="F143" s="1" t="str">
        <f>VLOOKUP(Port_Optimization_001[[#This Row],[POL CODE]],POL!F:H,2,0)</f>
        <v>MWZ6BhXSNqkOI0ZGa%252FiNmw%253D%253D</v>
      </c>
      <c r="G143" s="1" t="str">
        <f>_xlfn.IFNA(VLOOKUP(Port_Optimization_001[[#This Row],[POD CODE]],POD!F:H,2,0),"")</f>
        <v>X8GcDe9OXacnotj9q6RhWg%253D%253D</v>
      </c>
      <c r="H143" s="1" t="str">
        <f>VLOOKUP(Port_Optimization_001[[#This Row],[POL CODE]],POL!F:H,3,0)</f>
        <v>MWZ6BhXSNqkOI0ZGa%252FiNmw%253D%253D</v>
      </c>
      <c r="I143" s="1" t="str">
        <f>_xlfn.IFNA(VLOOKUP(Port_Optimization_001[[#This Row],[POD CODE]],POD!F:H,3,0),"")</f>
        <v>rSDolrCl4cQcOeyAyTf1zg%253D%253D</v>
      </c>
    </row>
    <row r="144" spans="1:9" x14ac:dyDescent="0.3">
      <c r="A144" s="1" t="s">
        <v>1475</v>
      </c>
      <c r="B144" s="1" t="s">
        <v>1465</v>
      </c>
      <c r="C144" s="1" t="str">
        <f t="shared" si="4"/>
        <v>CNTAO</v>
      </c>
      <c r="D144" s="1" t="str">
        <f t="shared" si="5"/>
        <v>BRSSZ</v>
      </c>
      <c r="E14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https://www.weiyun001.com/routePort?st=MWZ6BhXSNqkOI0ZGa%252FiNmw%253D%253D&amp;de=BdZ%252FtNPnUUWx6c7yvRrzUw%253D%253D&amp;rg=MWZ6BhXSNqkOI0ZGa%252FiNmw%253D%253D&amp;rt=x61UdCRqU8mCaDHdssLZSg%253D%253D</v>
      </c>
      <c r="F144" s="1" t="str">
        <f>VLOOKUP(Port_Optimization_001[[#This Row],[POL CODE]],POL!F:H,2,0)</f>
        <v>MWZ6BhXSNqkOI0ZGa%252FiNmw%253D%253D</v>
      </c>
      <c r="G144" s="1" t="str">
        <f>_xlfn.IFNA(VLOOKUP(Port_Optimization_001[[#This Row],[POD CODE]],POD!F:H,2,0),"")</f>
        <v>BdZ%252FtNPnUUWx6c7yvRrzUw%253D%253D</v>
      </c>
      <c r="H144" s="1" t="str">
        <f>VLOOKUP(Port_Optimization_001[[#This Row],[POL CODE]],POL!F:H,3,0)</f>
        <v>MWZ6BhXSNqkOI0ZGa%252FiNmw%253D%253D</v>
      </c>
      <c r="I144" s="1" t="str">
        <f>_xlfn.IFNA(VLOOKUP(Port_Optimization_001[[#This Row],[POD CODE]],POD!F:H,3,0),"")</f>
        <v>x61UdCRqU8mCaDHdssLZSg%253D%253D</v>
      </c>
    </row>
    <row r="145" spans="1:9" x14ac:dyDescent="0.3">
      <c r="A145" s="1" t="s">
        <v>1475</v>
      </c>
      <c r="B145" s="1" t="s">
        <v>1466</v>
      </c>
      <c r="C145" s="1" t="str">
        <f t="shared" si="4"/>
        <v>CNTAO</v>
      </c>
      <c r="D145" s="1" t="str">
        <f t="shared" si="5"/>
        <v>PABLB</v>
      </c>
      <c r="E14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https://www.weiyun001.com/routePort?st=MWZ6BhXSNqkOI0ZGa%252FiNmw%253D%253D&amp;de=tcS9Riy%252FOQ0F96F7MGSWlQ%253D%253D&amp;rg=MWZ6BhXSNqkOI0ZGa%252FiNmw%253D%253D&amp;rt=eAhwAhPCSEryNn434iy2MA%253D%253D</v>
      </c>
      <c r="F145" s="1" t="str">
        <f>VLOOKUP(Port_Optimization_001[[#This Row],[POL CODE]],POL!F:H,2,0)</f>
        <v>MWZ6BhXSNqkOI0ZGa%252FiNmw%253D%253D</v>
      </c>
      <c r="G145" s="1" t="str">
        <f>_xlfn.IFNA(VLOOKUP(Port_Optimization_001[[#This Row],[POD CODE]],POD!F:H,2,0),"")</f>
        <v>tcS9Riy%252FOQ0F96F7MGSWlQ%253D%253D</v>
      </c>
      <c r="H145" s="1" t="str">
        <f>VLOOKUP(Port_Optimization_001[[#This Row],[POL CODE]],POL!F:H,3,0)</f>
        <v>MWZ6BhXSNqkOI0ZGa%252FiNmw%253D%253D</v>
      </c>
      <c r="I145" s="1" t="str">
        <f>_xlfn.IFNA(VLOOKUP(Port_Optimization_001[[#This Row],[POD CODE]],POD!F:H,3,0),"")</f>
        <v>eAhwAhPCSEryNn434iy2MA%253D%253D</v>
      </c>
    </row>
    <row r="146" spans="1:9" x14ac:dyDescent="0.3">
      <c r="A146" s="1" t="s">
        <v>1475</v>
      </c>
      <c r="B146" s="1" t="s">
        <v>1477</v>
      </c>
      <c r="C146" s="1" t="str">
        <f t="shared" si="4"/>
        <v>CNTAO</v>
      </c>
      <c r="D146" s="1" t="str">
        <f t="shared" si="5"/>
        <v>DOCAU</v>
      </c>
      <c r="E14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https://www.weiyun001.com/routePort?st=MWZ6BhXSNqkOI0ZGa%252FiNmw%253D%253D&amp;de=EQLmb4dIJ8CxMITji8BFcQ%253D%253D&amp;rg=MWZ6BhXSNqkOI0ZGa%252FiNmw%253D%253D&amp;rt=eAhwAhPCSEryNn434iy2MA%253D%253D</v>
      </c>
      <c r="F146" s="1" t="str">
        <f>VLOOKUP(Port_Optimization_001[[#This Row],[POL CODE]],POL!F:H,2,0)</f>
        <v>MWZ6BhXSNqkOI0ZGa%252FiNmw%253D%253D</v>
      </c>
      <c r="G146" s="1" t="str">
        <f>_xlfn.IFNA(VLOOKUP(Port_Optimization_001[[#This Row],[POD CODE]],POD!F:H,2,0),"")</f>
        <v>EQLmb4dIJ8CxMITji8BFcQ%253D%253D</v>
      </c>
      <c r="H146" s="1" t="str">
        <f>VLOOKUP(Port_Optimization_001[[#This Row],[POL CODE]],POL!F:H,3,0)</f>
        <v>MWZ6BhXSNqkOI0ZGa%252FiNmw%253D%253D</v>
      </c>
      <c r="I146" s="1" t="str">
        <f>_xlfn.IFNA(VLOOKUP(Port_Optimization_001[[#This Row],[POD CODE]],POD!F:H,3,0),"")</f>
        <v>eAhwAhPCSEryNn434iy2MA%253D%253D</v>
      </c>
    </row>
    <row r="147" spans="1:9" x14ac:dyDescent="0.3">
      <c r="A147" s="1" t="s">
        <v>1475</v>
      </c>
      <c r="B147" s="1" t="s">
        <v>1467</v>
      </c>
      <c r="C147" s="1" t="str">
        <f t="shared" si="4"/>
        <v>CNTAO</v>
      </c>
      <c r="D147" s="1" t="str">
        <f t="shared" si="5"/>
        <v>AUBNE</v>
      </c>
      <c r="E14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https://www.weiyun001.com/routePort?st=MWZ6BhXSNqkOI0ZGa%252FiNmw%253D%253D&amp;de=PFEPD9phugL4OCypgVW00A%253D%253D&amp;rg=MWZ6BhXSNqkOI0ZGa%252FiNmw%253D%253D&amp;rt=o04TRiXb4TdXUQEl8c%252F4bQ%253D%253D</v>
      </c>
      <c r="F147" s="1" t="str">
        <f>VLOOKUP(Port_Optimization_001[[#This Row],[POL CODE]],POL!F:H,2,0)</f>
        <v>MWZ6BhXSNqkOI0ZGa%252FiNmw%253D%253D</v>
      </c>
      <c r="G147" s="1" t="str">
        <f>_xlfn.IFNA(VLOOKUP(Port_Optimization_001[[#This Row],[POD CODE]],POD!F:H,2,0),"")</f>
        <v>PFEPD9phugL4OCypgVW00A%253D%253D</v>
      </c>
      <c r="H147" s="1" t="str">
        <f>VLOOKUP(Port_Optimization_001[[#This Row],[POL CODE]],POL!F:H,3,0)</f>
        <v>MWZ6BhXSNqkOI0ZGa%252FiNmw%253D%253D</v>
      </c>
      <c r="I147" s="1" t="str">
        <f>_xlfn.IFNA(VLOOKUP(Port_Optimization_001[[#This Row],[POD CODE]],POD!F:H,3,0),"")</f>
        <v>o04TRiXb4TdXUQEl8c%252F4bQ%253D%253D</v>
      </c>
    </row>
    <row r="148" spans="1:9" x14ac:dyDescent="0.3">
      <c r="A148" s="1" t="s">
        <v>1475</v>
      </c>
      <c r="B148" s="1" t="s">
        <v>1478</v>
      </c>
      <c r="C148" s="1" t="str">
        <f t="shared" si="4"/>
        <v>CNTAO</v>
      </c>
      <c r="D148" s="1" t="str">
        <f t="shared" si="5"/>
        <v>VUVLI</v>
      </c>
      <c r="E14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https://www.weiyun001.com/routePort?st=MWZ6BhXSNqkOI0ZGa%252FiNmw%253D%253D&amp;de=tgHpAypYIL1pS1D%252FuC79tQ%253D%253D&amp;rg=MWZ6BhXSNqkOI0ZGa%252FiNmw%253D%253D&amp;rt=iEuy19j7DYzMrthSRfBd6A%253D%253D</v>
      </c>
      <c r="F148" s="1" t="str">
        <f>VLOOKUP(Port_Optimization_001[[#This Row],[POL CODE]],POL!F:H,2,0)</f>
        <v>MWZ6BhXSNqkOI0ZGa%252FiNmw%253D%253D</v>
      </c>
      <c r="G148" s="1" t="str">
        <f>_xlfn.IFNA(VLOOKUP(Port_Optimization_001[[#This Row],[POD CODE]],POD!F:H,2,0),"")</f>
        <v>tgHpAypYIL1pS1D%252FuC79tQ%253D%253D</v>
      </c>
      <c r="H148" s="1" t="str">
        <f>VLOOKUP(Port_Optimization_001[[#This Row],[POL CODE]],POL!F:H,3,0)</f>
        <v>MWZ6BhXSNqkOI0ZGa%252FiNmw%253D%253D</v>
      </c>
      <c r="I148" s="1" t="str">
        <f>_xlfn.IFNA(VLOOKUP(Port_Optimization_001[[#This Row],[POD CODE]],POD!F:H,3,0),"")</f>
        <v>iEuy19j7DYzMrthSRfBd6A%253D%253D</v>
      </c>
    </row>
    <row r="149" spans="1:9" x14ac:dyDescent="0.3">
      <c r="A149" s="1" t="s">
        <v>1475</v>
      </c>
      <c r="B149" s="1" t="s">
        <v>1404</v>
      </c>
      <c r="C149" s="1" t="str">
        <f t="shared" si="4"/>
        <v>CNTAO</v>
      </c>
      <c r="D149" s="1" t="str">
        <f t="shared" si="5"/>
        <v>VNSGN</v>
      </c>
      <c r="E14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https://www.weiyun001.com/routePort?st=MWZ6BhXSNqkOI0ZGa%252FiNmw%253D%253D&amp;de=CVigZ03WwsIi3M4cUzX1IA%253D%253D&amp;rg=MWZ6BhXSNqkOI0ZGa%252FiNmw%253D%253D&amp;rt=NFL9cTznAaa4CBynkPs%252B6Q%253D%253D</v>
      </c>
      <c r="F149" s="1" t="str">
        <f>VLOOKUP(Port_Optimization_001[[#This Row],[POL CODE]],POL!F:H,2,0)</f>
        <v>MWZ6BhXSNqkOI0ZGa%252FiNmw%253D%253D</v>
      </c>
      <c r="G149" s="1" t="str">
        <f>_xlfn.IFNA(VLOOKUP(Port_Optimization_001[[#This Row],[POD CODE]],POD!F:H,2,0),"")</f>
        <v>CVigZ03WwsIi3M4cUzX1IA%253D%253D</v>
      </c>
      <c r="H149" s="1" t="str">
        <f>VLOOKUP(Port_Optimization_001[[#This Row],[POL CODE]],POL!F:H,3,0)</f>
        <v>MWZ6BhXSNqkOI0ZGa%252FiNmw%253D%253D</v>
      </c>
      <c r="I149" s="1" t="str">
        <f>_xlfn.IFNA(VLOOKUP(Port_Optimization_001[[#This Row],[POD CODE]],POD!F:H,3,0),"")</f>
        <v>NFL9cTznAaa4CBynkPs%252B6Q%253D%253D</v>
      </c>
    </row>
    <row r="150" spans="1:9" x14ac:dyDescent="0.3">
      <c r="A150" s="1" t="s">
        <v>1475</v>
      </c>
      <c r="B150" s="1" t="s">
        <v>1405</v>
      </c>
      <c r="C150" s="1" t="str">
        <f t="shared" si="4"/>
        <v>CNTAO</v>
      </c>
      <c r="D150" s="1" t="str">
        <f t="shared" si="5"/>
        <v>PHMNL</v>
      </c>
      <c r="E15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https://www.weiyun001.com/routePort?st=MWZ6BhXSNqkOI0ZGa%252FiNmw%253D%253D&amp;de=uYYEeJiaA%252BEFqhyuOo%252FKJg%253D%253D&amp;rg=MWZ6BhXSNqkOI0ZGa%252FiNmw%253D%253D&amp;rt=1Cobu6af7PO5k9VHay4j%252Bg%253D%253D</v>
      </c>
      <c r="F150" s="1" t="str">
        <f>VLOOKUP(Port_Optimization_001[[#This Row],[POL CODE]],POL!F:H,2,0)</f>
        <v>MWZ6BhXSNqkOI0ZGa%252FiNmw%253D%253D</v>
      </c>
      <c r="G150" s="1" t="str">
        <f>_xlfn.IFNA(VLOOKUP(Port_Optimization_001[[#This Row],[POD CODE]],POD!F:H,2,0),"")</f>
        <v>uYYEeJiaA%252BEFqhyuOo%252FKJg%253D%253D</v>
      </c>
      <c r="H150" s="1" t="str">
        <f>VLOOKUP(Port_Optimization_001[[#This Row],[POL CODE]],POL!F:H,3,0)</f>
        <v>MWZ6BhXSNqkOI0ZGa%252FiNmw%253D%253D</v>
      </c>
      <c r="I150" s="1" t="str">
        <f>_xlfn.IFNA(VLOOKUP(Port_Optimization_001[[#This Row],[POD CODE]],POD!F:H,3,0),"")</f>
        <v>1Cobu6af7PO5k9VHay4j%252Bg%253D%253D</v>
      </c>
    </row>
    <row r="151" spans="1:9" x14ac:dyDescent="0.3">
      <c r="A151" s="1" t="s">
        <v>1475</v>
      </c>
      <c r="B151" s="1" t="s">
        <v>1407</v>
      </c>
      <c r="C151" s="1" t="str">
        <f t="shared" si="4"/>
        <v>CNTAO</v>
      </c>
      <c r="D151" s="1" t="str">
        <f t="shared" si="5"/>
        <v>VNHPH</v>
      </c>
      <c r="E15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https://www.weiyun001.com/routePort?st=MWZ6BhXSNqkOI0ZGa%252FiNmw%253D%253D&amp;de=fJ71EUPe75vnyZvJ9cGHxg%253D%253D&amp;rg=MWZ6BhXSNqkOI0ZGa%252FiNmw%253D%253D&amp;rt=NFL9cTznAaa4CBynkPs%252B6Q%253D%253D</v>
      </c>
      <c r="F151" s="1" t="str">
        <f>VLOOKUP(Port_Optimization_001[[#This Row],[POL CODE]],POL!F:H,2,0)</f>
        <v>MWZ6BhXSNqkOI0ZGa%252FiNmw%253D%253D</v>
      </c>
      <c r="G151" s="1" t="str">
        <f>_xlfn.IFNA(VLOOKUP(Port_Optimization_001[[#This Row],[POD CODE]],POD!F:H,2,0),"")</f>
        <v>fJ71EUPe75vnyZvJ9cGHxg%253D%253D</v>
      </c>
      <c r="H151" s="1" t="str">
        <f>VLOOKUP(Port_Optimization_001[[#This Row],[POL CODE]],POL!F:H,3,0)</f>
        <v>MWZ6BhXSNqkOI0ZGa%252FiNmw%253D%253D</v>
      </c>
      <c r="I151" s="1" t="str">
        <f>_xlfn.IFNA(VLOOKUP(Port_Optimization_001[[#This Row],[POD CODE]],POD!F:H,3,0),"")</f>
        <v>NFL9cTznAaa4CBynkPs%252B6Q%253D%253D</v>
      </c>
    </row>
    <row r="152" spans="1:9" x14ac:dyDescent="0.3">
      <c r="A152" s="1" t="s">
        <v>1475</v>
      </c>
      <c r="B152" s="1" t="s">
        <v>1406</v>
      </c>
      <c r="C152" s="1" t="str">
        <f t="shared" si="4"/>
        <v>CNTAO</v>
      </c>
      <c r="D152" s="1" t="str">
        <f t="shared" si="5"/>
        <v>IDJKT</v>
      </c>
      <c r="E15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https://www.weiyun001.com/routePort?st=MWZ6BhXSNqkOI0ZGa%252FiNmw%253D%253D&amp;de=ffFYXkaqrPSmqfQq9H1AYQ%253D%253D&amp;rg=MWZ6BhXSNqkOI0ZGa%252FiNmw%253D%253D&amp;rt=1Cobu6af7PO5k9VHay4j%252Bg%253D%253D</v>
      </c>
      <c r="F152" s="1" t="str">
        <f>VLOOKUP(Port_Optimization_001[[#This Row],[POL CODE]],POL!F:H,2,0)</f>
        <v>MWZ6BhXSNqkOI0ZGa%252FiNmw%253D%253D</v>
      </c>
      <c r="G152" s="1" t="str">
        <f>_xlfn.IFNA(VLOOKUP(Port_Optimization_001[[#This Row],[POD CODE]],POD!F:H,2,0),"")</f>
        <v>ffFYXkaqrPSmqfQq9H1AYQ%253D%253D</v>
      </c>
      <c r="H152" s="1" t="str">
        <f>VLOOKUP(Port_Optimization_001[[#This Row],[POL CODE]],POL!F:H,3,0)</f>
        <v>MWZ6BhXSNqkOI0ZGa%252FiNmw%253D%253D</v>
      </c>
      <c r="I152" s="1" t="str">
        <f>_xlfn.IFNA(VLOOKUP(Port_Optimization_001[[#This Row],[POD CODE]],POD!F:H,3,0),"")</f>
        <v>1Cobu6af7PO5k9VHay4j%252Bg%253D%253D</v>
      </c>
    </row>
    <row r="153" spans="1:9" x14ac:dyDescent="0.3">
      <c r="A153" s="1" t="s">
        <v>1475</v>
      </c>
      <c r="B153" s="1" t="s">
        <v>1408</v>
      </c>
      <c r="C153" s="1" t="str">
        <f t="shared" si="4"/>
        <v>CNTAO</v>
      </c>
      <c r="D153" s="1" t="str">
        <f t="shared" si="5"/>
        <v>THLCH</v>
      </c>
      <c r="E15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https://www.weiyun001.com/routePort?st=MWZ6BhXSNqkOI0ZGa%252FiNmw%253D%253D&amp;de=OxmUlXWM%252FAUYd%252FPp1zlwDA%253D%253D&amp;rg=MWZ6BhXSNqkOI0ZGa%252FiNmw%253D%253D&amp;rt=NFL9cTznAaa4CBynkPs%252B6Q%253D%253D</v>
      </c>
      <c r="F153" s="1" t="str">
        <f>VLOOKUP(Port_Optimization_001[[#This Row],[POL CODE]],POL!F:H,2,0)</f>
        <v>MWZ6BhXSNqkOI0ZGa%252FiNmw%253D%253D</v>
      </c>
      <c r="G153" s="1" t="str">
        <f>_xlfn.IFNA(VLOOKUP(Port_Optimization_001[[#This Row],[POD CODE]],POD!F:H,2,0),"")</f>
        <v>OxmUlXWM%252FAUYd%252FPp1zlwDA%253D%253D</v>
      </c>
      <c r="H153" s="1" t="str">
        <f>VLOOKUP(Port_Optimization_001[[#This Row],[POL CODE]],POL!F:H,3,0)</f>
        <v>MWZ6BhXSNqkOI0ZGa%252FiNmw%253D%253D</v>
      </c>
      <c r="I153" s="1" t="str">
        <f>_xlfn.IFNA(VLOOKUP(Port_Optimization_001[[#This Row],[POD CODE]],POD!F:H,3,0),"")</f>
        <v>NFL9cTznAaa4CBynkPs%252B6Q%253D%253D</v>
      </c>
    </row>
    <row r="154" spans="1:9" x14ac:dyDescent="0.3">
      <c r="A154" s="1" t="s">
        <v>1475</v>
      </c>
      <c r="B154" s="1" t="s">
        <v>1470</v>
      </c>
      <c r="C154" s="1" t="str">
        <f t="shared" si="4"/>
        <v>CNTAO</v>
      </c>
      <c r="D154" s="1" t="str">
        <f t="shared" si="5"/>
        <v>MYPEN</v>
      </c>
      <c r="E15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https://www.weiyun001.com/routePort?st=MWZ6BhXSNqkOI0ZGa%252FiNmw%253D%253D&amp;de=tVaiOFP7i%252Bq6FkaCrH4cPg%253D%253D&amp;rg=MWZ6BhXSNqkOI0ZGa%252FiNmw%253D%253D&amp;rt=NFL9cTznAaa4CBynkPs%252B6Q%253D%253D</v>
      </c>
      <c r="F154" s="1" t="str">
        <f>VLOOKUP(Port_Optimization_001[[#This Row],[POL CODE]],POL!F:H,2,0)</f>
        <v>MWZ6BhXSNqkOI0ZGa%252FiNmw%253D%253D</v>
      </c>
      <c r="G154" s="1" t="str">
        <f>_xlfn.IFNA(VLOOKUP(Port_Optimization_001[[#This Row],[POD CODE]],POD!F:H,2,0),"")</f>
        <v>tVaiOFP7i%252Bq6FkaCrH4cPg%253D%253D</v>
      </c>
      <c r="H154" s="1" t="str">
        <f>VLOOKUP(Port_Optimization_001[[#This Row],[POL CODE]],POL!F:H,3,0)</f>
        <v>MWZ6BhXSNqkOI0ZGa%252FiNmw%253D%253D</v>
      </c>
      <c r="I154" s="1" t="str">
        <f>_xlfn.IFNA(VLOOKUP(Port_Optimization_001[[#This Row],[POD CODE]],POD!F:H,3,0),"")</f>
        <v>NFL9cTznAaa4CBynkPs%252B6Q%253D%253D</v>
      </c>
    </row>
    <row r="155" spans="1:9" x14ac:dyDescent="0.3">
      <c r="A155" s="1" t="s">
        <v>1475</v>
      </c>
      <c r="B155" s="1" t="s">
        <v>1410</v>
      </c>
      <c r="C155" s="1" t="str">
        <f t="shared" si="4"/>
        <v>CNTAO</v>
      </c>
      <c r="D155" s="1" t="str">
        <f t="shared" si="5"/>
        <v>IDSUB</v>
      </c>
      <c r="E15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https://www.weiyun001.com/routePort?st=MWZ6BhXSNqkOI0ZGa%252FiNmw%253D%253D&amp;de=HlaejIbbmrtywbtr93rj1w%253D%253D&amp;rg=MWZ6BhXSNqkOI0ZGa%252FiNmw%253D%253D&amp;rt=1Cobu6af7PO5k9VHay4j%252Bg%253D%253D</v>
      </c>
      <c r="F155" s="1" t="str">
        <f>VLOOKUP(Port_Optimization_001[[#This Row],[POL CODE]],POL!F:H,2,0)</f>
        <v>MWZ6BhXSNqkOI0ZGa%252FiNmw%253D%253D</v>
      </c>
      <c r="G155" s="1" t="str">
        <f>_xlfn.IFNA(VLOOKUP(Port_Optimization_001[[#This Row],[POD CODE]],POD!F:H,2,0),"")</f>
        <v>HlaejIbbmrtywbtr93rj1w%253D%253D</v>
      </c>
      <c r="H155" s="1" t="str">
        <f>VLOOKUP(Port_Optimization_001[[#This Row],[POL CODE]],POL!F:H,3,0)</f>
        <v>MWZ6BhXSNqkOI0ZGa%252FiNmw%253D%253D</v>
      </c>
      <c r="I155" s="1" t="str">
        <f>_xlfn.IFNA(VLOOKUP(Port_Optimization_001[[#This Row],[POD CODE]],POD!F:H,3,0),"")</f>
        <v>1Cobu6af7PO5k9VHay4j%252Bg%253D%253D</v>
      </c>
    </row>
    <row r="156" spans="1:9" x14ac:dyDescent="0.3">
      <c r="A156" s="1" t="s">
        <v>1475</v>
      </c>
      <c r="B156" s="1" t="s">
        <v>1414</v>
      </c>
      <c r="C156" s="1" t="str">
        <f t="shared" si="4"/>
        <v>CNTAO</v>
      </c>
      <c r="D156" s="1" t="str">
        <f t="shared" si="5"/>
        <v>MYPGU</v>
      </c>
      <c r="E15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https://www.weiyun001.com/routePort?st=MWZ6BhXSNqkOI0ZGa%252FiNmw%253D%253D&amp;de=ANDy0tuuXA3bR0I4F4vWhg%253D%253D&amp;rg=MWZ6BhXSNqkOI0ZGa%252FiNmw%253D%253D&amp;rt=NFL9cTznAaa4CBynkPs%252B6Q%253D%253D</v>
      </c>
      <c r="F156" s="1" t="str">
        <f>VLOOKUP(Port_Optimization_001[[#This Row],[POL CODE]],POL!F:H,2,0)</f>
        <v>MWZ6BhXSNqkOI0ZGa%252FiNmw%253D%253D</v>
      </c>
      <c r="G156" s="1" t="str">
        <f>_xlfn.IFNA(VLOOKUP(Port_Optimization_001[[#This Row],[POD CODE]],POD!F:H,2,0),"")</f>
        <v>ANDy0tuuXA3bR0I4F4vWhg%253D%253D</v>
      </c>
      <c r="H156" s="1" t="str">
        <f>VLOOKUP(Port_Optimization_001[[#This Row],[POL CODE]],POL!F:H,3,0)</f>
        <v>MWZ6BhXSNqkOI0ZGa%252FiNmw%253D%253D</v>
      </c>
      <c r="I156" s="1" t="str">
        <f>_xlfn.IFNA(VLOOKUP(Port_Optimization_001[[#This Row],[POD CODE]],POD!F:H,3,0),"")</f>
        <v>NFL9cTznAaa4CBynkPs%252B6Q%253D%253D</v>
      </c>
    </row>
    <row r="157" spans="1:9" x14ac:dyDescent="0.3">
      <c r="A157" s="1" t="s">
        <v>1475</v>
      </c>
      <c r="B157" s="1" t="s">
        <v>1415</v>
      </c>
      <c r="C157" s="1" t="str">
        <f t="shared" si="4"/>
        <v>CNTAO</v>
      </c>
      <c r="D157" s="1" t="str">
        <f t="shared" si="5"/>
        <v>MYPKG</v>
      </c>
      <c r="E15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https://www.weiyun001.com/routePort?st=MWZ6BhXSNqkOI0ZGa%252FiNmw%253D%253D&amp;de=2WJxBRbU754HNWDDwVsKgQ%253D%253D&amp;rg=MWZ6BhXSNqkOI0ZGa%252FiNmw%253D%253D&amp;rt=NFL9cTznAaa4CBynkPs%252B6Q%253D%253D</v>
      </c>
      <c r="F157" s="1" t="str">
        <f>VLOOKUP(Port_Optimization_001[[#This Row],[POL CODE]],POL!F:H,2,0)</f>
        <v>MWZ6BhXSNqkOI0ZGa%252FiNmw%253D%253D</v>
      </c>
      <c r="G157" s="1" t="str">
        <f>_xlfn.IFNA(VLOOKUP(Port_Optimization_001[[#This Row],[POD CODE]],POD!F:H,2,0),"")</f>
        <v>2WJxBRbU754HNWDDwVsKgQ%253D%253D</v>
      </c>
      <c r="H157" s="1" t="str">
        <f>VLOOKUP(Port_Optimization_001[[#This Row],[POL CODE]],POL!F:H,3,0)</f>
        <v>MWZ6BhXSNqkOI0ZGa%252FiNmw%253D%253D</v>
      </c>
      <c r="I157" s="1" t="str">
        <f>_xlfn.IFNA(VLOOKUP(Port_Optimization_001[[#This Row],[POD CODE]],POD!F:H,3,0),"")</f>
        <v>NFL9cTznAaa4CBynkPs%252B6Q%253D%253D</v>
      </c>
    </row>
    <row r="158" spans="1:9" x14ac:dyDescent="0.3">
      <c r="A158" s="1" t="s">
        <v>1475</v>
      </c>
      <c r="B158" s="1" t="s">
        <v>1413</v>
      </c>
      <c r="C158" s="1" t="str">
        <f t="shared" si="4"/>
        <v>CNTAO</v>
      </c>
      <c r="D158" s="1" t="str">
        <f t="shared" si="5"/>
        <v>PHDVO</v>
      </c>
      <c r="E15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https://www.weiyun001.com/routePort?st=MWZ6BhXSNqkOI0ZGa%252FiNmw%253D%253D&amp;de=HztwdcvWfyObYMSuS7M4Vg%253D%253D&amp;rg=MWZ6BhXSNqkOI0ZGa%252FiNmw%253D%253D&amp;rt=1Cobu6af7PO5k9VHay4j%252Bg%253D%253D</v>
      </c>
      <c r="F158" s="1" t="str">
        <f>VLOOKUP(Port_Optimization_001[[#This Row],[POL CODE]],POL!F:H,2,0)</f>
        <v>MWZ6BhXSNqkOI0ZGa%252FiNmw%253D%253D</v>
      </c>
      <c r="G158" s="1" t="str">
        <f>_xlfn.IFNA(VLOOKUP(Port_Optimization_001[[#This Row],[POD CODE]],POD!F:H,2,0),"")</f>
        <v>HztwdcvWfyObYMSuS7M4Vg%253D%253D</v>
      </c>
      <c r="H158" s="1" t="str">
        <f>VLOOKUP(Port_Optimization_001[[#This Row],[POL CODE]],POL!F:H,3,0)</f>
        <v>MWZ6BhXSNqkOI0ZGa%252FiNmw%253D%253D</v>
      </c>
      <c r="I158" s="1" t="str">
        <f>_xlfn.IFNA(VLOOKUP(Port_Optimization_001[[#This Row],[POD CODE]],POD!F:H,3,0),"")</f>
        <v>1Cobu6af7PO5k9VHay4j%252Bg%253D%253D</v>
      </c>
    </row>
    <row r="159" spans="1:9" x14ac:dyDescent="0.3">
      <c r="A159" s="1" t="s">
        <v>1475</v>
      </c>
      <c r="B159" s="1" t="s">
        <v>1412</v>
      </c>
      <c r="C159" s="1" t="str">
        <f t="shared" si="4"/>
        <v>CNTAO</v>
      </c>
      <c r="D159" s="1" t="str">
        <f t="shared" si="5"/>
        <v>KHKOS</v>
      </c>
      <c r="E15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https://www.weiyun001.com/routePort?st=MWZ6BhXSNqkOI0ZGa%252FiNmw%253D%253D&amp;de=EVsBMZX0DHq4aZyn1LHQog%253D%253D&amp;rg=MWZ6BhXSNqkOI0ZGa%252FiNmw%253D%253D&amp;rt=NFL9cTznAaa4CBynkPs%252B6Q%253D%253D</v>
      </c>
      <c r="F159" s="1" t="str">
        <f>VLOOKUP(Port_Optimization_001[[#This Row],[POL CODE]],POL!F:H,2,0)</f>
        <v>MWZ6BhXSNqkOI0ZGa%252FiNmw%253D%253D</v>
      </c>
      <c r="G159" s="1" t="str">
        <f>_xlfn.IFNA(VLOOKUP(Port_Optimization_001[[#This Row],[POD CODE]],POD!F:H,2,0),"")</f>
        <v>EVsBMZX0DHq4aZyn1LHQog%253D%253D</v>
      </c>
      <c r="H159" s="1" t="str">
        <f>VLOOKUP(Port_Optimization_001[[#This Row],[POL CODE]],POL!F:H,3,0)</f>
        <v>MWZ6BhXSNqkOI0ZGa%252FiNmw%253D%253D</v>
      </c>
      <c r="I159" s="1" t="str">
        <f>_xlfn.IFNA(VLOOKUP(Port_Optimization_001[[#This Row],[POD CODE]],POD!F:H,3,0),"")</f>
        <v>NFL9cTznAaa4CBynkPs%252B6Q%253D%253D</v>
      </c>
    </row>
    <row r="160" spans="1:9" x14ac:dyDescent="0.3">
      <c r="A160" s="1" t="s">
        <v>1475</v>
      </c>
      <c r="B160" s="1" t="s">
        <v>1479</v>
      </c>
      <c r="C160" s="1" t="str">
        <f t="shared" si="4"/>
        <v>CNTAO</v>
      </c>
      <c r="D160" s="1" t="str">
        <f t="shared" si="5"/>
        <v>VNTOT</v>
      </c>
      <c r="E16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https://www.weiyun001.com/routePort?st=MWZ6BhXSNqkOI0ZGa%252FiNmw%253D%253D&amp;de=EqaJ6TDe%252FxEv5kTMGPyXEw%253D%253D&amp;rg=MWZ6BhXSNqkOI0ZGa%252FiNmw%253D%253D&amp;rt=NFL9cTznAaa4CBynkPs%252B6Q%253D%253D</v>
      </c>
      <c r="F160" s="1" t="str">
        <f>VLOOKUP(Port_Optimization_001[[#This Row],[POL CODE]],POL!F:H,2,0)</f>
        <v>MWZ6BhXSNqkOI0ZGa%252FiNmw%253D%253D</v>
      </c>
      <c r="G160" s="1" t="str">
        <f>_xlfn.IFNA(VLOOKUP(Port_Optimization_001[[#This Row],[POD CODE]],POD!F:H,2,0),"")</f>
        <v>EqaJ6TDe%252FxEv5kTMGPyXEw%253D%253D</v>
      </c>
      <c r="H160" s="1" t="str">
        <f>VLOOKUP(Port_Optimization_001[[#This Row],[POL CODE]],POL!F:H,3,0)</f>
        <v>MWZ6BhXSNqkOI0ZGa%252FiNmw%253D%253D</v>
      </c>
      <c r="I160" s="1" t="str">
        <f>_xlfn.IFNA(VLOOKUP(Port_Optimization_001[[#This Row],[POD CODE]],POD!F:H,3,0),"")</f>
        <v>NFL9cTznAaa4CBynkPs%252B6Q%253D%253D</v>
      </c>
    </row>
    <row r="161" spans="1:9" x14ac:dyDescent="0.3">
      <c r="A161" s="1" t="s">
        <v>1475</v>
      </c>
      <c r="B161" s="1" t="s">
        <v>1409</v>
      </c>
      <c r="C161" s="1" t="str">
        <f t="shared" si="4"/>
        <v>CNTAO</v>
      </c>
      <c r="D161" s="1" t="str">
        <f t="shared" si="5"/>
        <v>MYTPP</v>
      </c>
      <c r="E16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https://www.weiyun001.com/routePort?st=MWZ6BhXSNqkOI0ZGa%252FiNmw%253D%253D&amp;de=Zfdwz371n2fV4bpx64twzQ%253D%253D&amp;rg=MWZ6BhXSNqkOI0ZGa%252FiNmw%253D%253D&amp;rt=NFL9cTznAaa4CBynkPs%252B6Q%253D%253D</v>
      </c>
      <c r="F161" s="1" t="str">
        <f>VLOOKUP(Port_Optimization_001[[#This Row],[POL CODE]],POL!F:H,2,0)</f>
        <v>MWZ6BhXSNqkOI0ZGa%252FiNmw%253D%253D</v>
      </c>
      <c r="G161" s="1" t="str">
        <f>_xlfn.IFNA(VLOOKUP(Port_Optimization_001[[#This Row],[POD CODE]],POD!F:H,2,0),"")</f>
        <v>Zfdwz371n2fV4bpx64twzQ%253D%253D</v>
      </c>
      <c r="H161" s="1" t="str">
        <f>VLOOKUP(Port_Optimization_001[[#This Row],[POL CODE]],POL!F:H,3,0)</f>
        <v>MWZ6BhXSNqkOI0ZGa%252FiNmw%253D%253D</v>
      </c>
      <c r="I161" s="1" t="str">
        <f>_xlfn.IFNA(VLOOKUP(Port_Optimization_001[[#This Row],[POD CODE]],POD!F:H,3,0),"")</f>
        <v>NFL9cTznAaa4CBynkPs%252B6Q%253D%253D</v>
      </c>
    </row>
    <row r="162" spans="1:9" x14ac:dyDescent="0.3">
      <c r="A162" s="1" t="s">
        <v>1475</v>
      </c>
      <c r="B162" s="1" t="s">
        <v>1411</v>
      </c>
      <c r="C162" s="1" t="str">
        <f t="shared" si="4"/>
        <v>CNTAO</v>
      </c>
      <c r="D162" s="1" t="str">
        <f t="shared" si="5"/>
        <v>SGSIN</v>
      </c>
      <c r="E16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https://www.weiyun001.com/routePort?st=MWZ6BhXSNqkOI0ZGa%252FiNmw%253D%253D&amp;de=YqmvNL3mswajMEBG16hT2A%253D%253D&amp;rg=MWZ6BhXSNqkOI0ZGa%252FiNmw%253D%253D&amp;rt=NFL9cTznAaa4CBynkPs%252B6Q%253D%253D</v>
      </c>
      <c r="F162" s="1" t="str">
        <f>VLOOKUP(Port_Optimization_001[[#This Row],[POL CODE]],POL!F:H,2,0)</f>
        <v>MWZ6BhXSNqkOI0ZGa%252FiNmw%253D%253D</v>
      </c>
      <c r="G162" s="1" t="str">
        <f>_xlfn.IFNA(VLOOKUP(Port_Optimization_001[[#This Row],[POD CODE]],POD!F:H,2,0),"")</f>
        <v>YqmvNL3mswajMEBG16hT2A%253D%253D</v>
      </c>
      <c r="H162" s="1" t="str">
        <f>VLOOKUP(Port_Optimization_001[[#This Row],[POL CODE]],POL!F:H,3,0)</f>
        <v>MWZ6BhXSNqkOI0ZGa%252FiNmw%253D%253D</v>
      </c>
      <c r="I162" s="1" t="str">
        <f>_xlfn.IFNA(VLOOKUP(Port_Optimization_001[[#This Row],[POD CODE]],POD!F:H,3,0),"")</f>
        <v>NFL9cTznAaa4CBynkPs%252B6Q%253D%253D</v>
      </c>
    </row>
    <row r="163" spans="1:9" x14ac:dyDescent="0.3">
      <c r="A163" s="1" t="s">
        <v>1475</v>
      </c>
      <c r="B163" s="1" t="s">
        <v>1416</v>
      </c>
      <c r="C163" s="1" t="str">
        <f t="shared" si="4"/>
        <v>CNTAO</v>
      </c>
      <c r="D163" s="1" t="str">
        <f t="shared" si="5"/>
        <v>HKHKG</v>
      </c>
      <c r="E16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https://www.weiyun001.com/routePort?st=MWZ6BhXSNqkOI0ZGa%252FiNmw%253D%253D&amp;de=vMzSod%252BtWz6%252F7wRCS6eQNA%253D%253D&amp;rg=MWZ6BhXSNqkOI0ZGa%252FiNmw%253D%253D&amp;rt=Sf%252FJBtcqkoI65Fe6qmiQsA%253D%253D</v>
      </c>
      <c r="F163" s="1" t="str">
        <f>VLOOKUP(Port_Optimization_001[[#This Row],[POL CODE]],POL!F:H,2,0)</f>
        <v>MWZ6BhXSNqkOI0ZGa%252FiNmw%253D%253D</v>
      </c>
      <c r="G163" s="1" t="str">
        <f>_xlfn.IFNA(VLOOKUP(Port_Optimization_001[[#This Row],[POD CODE]],POD!F:H,2,0),"")</f>
        <v>vMzSod%252BtWz6%252F7wRCS6eQNA%253D%253D</v>
      </c>
      <c r="H163" s="1" t="str">
        <f>VLOOKUP(Port_Optimization_001[[#This Row],[POL CODE]],POL!F:H,3,0)</f>
        <v>MWZ6BhXSNqkOI0ZGa%252FiNmw%253D%253D</v>
      </c>
      <c r="I163" s="1" t="str">
        <f>_xlfn.IFNA(VLOOKUP(Port_Optimization_001[[#This Row],[POD CODE]],POD!F:H,3,0),"")</f>
        <v>Sf%252FJBtcqkoI65Fe6qmiQsA%253D%253D</v>
      </c>
    </row>
    <row r="164" spans="1:9" x14ac:dyDescent="0.3">
      <c r="A164" s="1" t="s">
        <v>1475</v>
      </c>
      <c r="B164" s="1" t="s">
        <v>1471</v>
      </c>
      <c r="C164" s="1" t="str">
        <f t="shared" si="4"/>
        <v>CNTAO</v>
      </c>
      <c r="D164" s="1" t="str">
        <f t="shared" si="5"/>
        <v>BDCGP</v>
      </c>
      <c r="E16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https://www.weiyun001.com/routePort?st=MWZ6BhXSNqkOI0ZGa%252FiNmw%253D%253D&amp;de=DI5vO7b5NtdrSNEEfjw64w%253D%253D&amp;rg=MWZ6BhXSNqkOI0ZGa%252FiNmw%253D%253D&amp;rt=ZY9R0ulrUtfklWEEetRGPg%253D%253D</v>
      </c>
      <c r="F164" s="1" t="str">
        <f>VLOOKUP(Port_Optimization_001[[#This Row],[POL CODE]],POL!F:H,2,0)</f>
        <v>MWZ6BhXSNqkOI0ZGa%252FiNmw%253D%253D</v>
      </c>
      <c r="G164" s="1" t="str">
        <f>_xlfn.IFNA(VLOOKUP(Port_Optimization_001[[#This Row],[POD CODE]],POD!F:H,2,0),"")</f>
        <v>DI5vO7b5NtdrSNEEfjw64w%253D%253D</v>
      </c>
      <c r="H164" s="1" t="str">
        <f>VLOOKUP(Port_Optimization_001[[#This Row],[POL CODE]],POL!F:H,3,0)</f>
        <v>MWZ6BhXSNqkOI0ZGa%252FiNmw%253D%253D</v>
      </c>
      <c r="I164" s="1" t="str">
        <f>_xlfn.IFNA(VLOOKUP(Port_Optimization_001[[#This Row],[POD CODE]],POD!F:H,3,0),"")</f>
        <v>ZY9R0ulrUtfklWEEetRGPg%253D%253D</v>
      </c>
    </row>
    <row r="165" spans="1:9" x14ac:dyDescent="0.3">
      <c r="A165" s="1" t="s">
        <v>1475</v>
      </c>
      <c r="B165" s="1" t="s">
        <v>1417</v>
      </c>
      <c r="C165" s="1" t="str">
        <f t="shared" si="4"/>
        <v>CNTAO</v>
      </c>
      <c r="D165" s="1" t="str">
        <f t="shared" si="5"/>
        <v>KRPUS</v>
      </c>
      <c r="E16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https://www.weiyun001.com/routePort?st=MWZ6BhXSNqkOI0ZGa%252FiNmw%253D%253D&amp;de=8pLSQnjoVis1CMK2AzkKQA%253D%253D&amp;rg=MWZ6BhXSNqkOI0ZGa%252FiNmw%253D%253D&amp;rt=KylH8Pr1ynXpbeNIUggL%252FQ%253D%253D</v>
      </c>
      <c r="F165" s="1" t="str">
        <f>VLOOKUP(Port_Optimization_001[[#This Row],[POL CODE]],POL!F:H,2,0)</f>
        <v>MWZ6BhXSNqkOI0ZGa%252FiNmw%253D%253D</v>
      </c>
      <c r="G165" s="1" t="str">
        <f>_xlfn.IFNA(VLOOKUP(Port_Optimization_001[[#This Row],[POD CODE]],POD!F:H,2,0),"")</f>
        <v>8pLSQnjoVis1CMK2AzkKQA%253D%253D</v>
      </c>
      <c r="H165" s="1" t="str">
        <f>VLOOKUP(Port_Optimization_001[[#This Row],[POL CODE]],POL!F:H,3,0)</f>
        <v>MWZ6BhXSNqkOI0ZGa%252FiNmw%253D%253D</v>
      </c>
      <c r="I165" s="1" t="str">
        <f>_xlfn.IFNA(VLOOKUP(Port_Optimization_001[[#This Row],[POD CODE]],POD!F:H,3,0),"")</f>
        <v>KylH8Pr1ynXpbeNIUggL%252FQ%253D%253D</v>
      </c>
    </row>
    <row r="166" spans="1:9" x14ac:dyDescent="0.3">
      <c r="A166" s="1" t="s">
        <v>1475</v>
      </c>
      <c r="B166" s="1" t="s">
        <v>1418</v>
      </c>
      <c r="C166" s="1" t="str">
        <f t="shared" si="4"/>
        <v>CNTAO</v>
      </c>
      <c r="D166" s="1" t="str">
        <f t="shared" si="5"/>
        <v>JPYOK</v>
      </c>
      <c r="E16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https://www.weiyun001.com/routePort?st=MWZ6BhXSNqkOI0ZGa%252FiNmw%253D%253D&amp;de=avzQ%252FxXt%252BKfrK6vIvt59QA%253D%253D&amp;rg=MWZ6BhXSNqkOI0ZGa%252FiNmw%253D%253D&amp;rt=RHiB9uH2veEacXFy%252F4no2w%253D%253D</v>
      </c>
      <c r="F166" s="1" t="str">
        <f>VLOOKUP(Port_Optimization_001[[#This Row],[POL CODE]],POL!F:H,2,0)</f>
        <v>MWZ6BhXSNqkOI0ZGa%252FiNmw%253D%253D</v>
      </c>
      <c r="G166" s="1" t="str">
        <f>_xlfn.IFNA(VLOOKUP(Port_Optimization_001[[#This Row],[POD CODE]],POD!F:H,2,0),"")</f>
        <v>avzQ%252FxXt%252BKfrK6vIvt59QA%253D%253D</v>
      </c>
      <c r="H166" s="1" t="str">
        <f>VLOOKUP(Port_Optimization_001[[#This Row],[POL CODE]],POL!F:H,3,0)</f>
        <v>MWZ6BhXSNqkOI0ZGa%252FiNmw%253D%253D</v>
      </c>
      <c r="I166" s="1" t="str">
        <f>_xlfn.IFNA(VLOOKUP(Port_Optimization_001[[#This Row],[POD CODE]],POD!F:H,3,0),"")</f>
        <v>RHiB9uH2veEacXFy%252F4no2w%253D%253D</v>
      </c>
    </row>
    <row r="167" spans="1:9" x14ac:dyDescent="0.3">
      <c r="A167" s="1" t="s">
        <v>1475</v>
      </c>
      <c r="B167" s="1" t="s">
        <v>1432</v>
      </c>
      <c r="C167" s="1" t="str">
        <f t="shared" si="4"/>
        <v>CNTAO</v>
      </c>
      <c r="D167" s="1" t="str">
        <f t="shared" si="5"/>
        <v>KRKWA</v>
      </c>
      <c r="E16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https://www.weiyun001.com/routePort?st=MWZ6BhXSNqkOI0ZGa%252FiNmw%253D%253D&amp;de=rPLnE99TLeh2amlrcypq7A%253D%253D&amp;rg=MWZ6BhXSNqkOI0ZGa%252FiNmw%253D%253D&amp;rt=KylH8Pr1ynXpbeNIUggL%252FQ%253D%253D</v>
      </c>
      <c r="F167" s="1" t="str">
        <f>VLOOKUP(Port_Optimization_001[[#This Row],[POL CODE]],POL!F:H,2,0)</f>
        <v>MWZ6BhXSNqkOI0ZGa%252FiNmw%253D%253D</v>
      </c>
      <c r="G167" s="1" t="str">
        <f>_xlfn.IFNA(VLOOKUP(Port_Optimization_001[[#This Row],[POD CODE]],POD!F:H,2,0),"")</f>
        <v>rPLnE99TLeh2amlrcypq7A%253D%253D</v>
      </c>
      <c r="H167" s="1" t="str">
        <f>VLOOKUP(Port_Optimization_001[[#This Row],[POL CODE]],POL!F:H,3,0)</f>
        <v>MWZ6BhXSNqkOI0ZGa%252FiNmw%253D%253D</v>
      </c>
      <c r="I167" s="1" t="str">
        <f>_xlfn.IFNA(VLOOKUP(Port_Optimization_001[[#This Row],[POD CODE]],POD!F:H,3,0),"")</f>
        <v>KylH8Pr1ynXpbeNIUggL%252FQ%253D%253D</v>
      </c>
    </row>
    <row r="168" spans="1:9" x14ac:dyDescent="0.3">
      <c r="A168" s="1" t="s">
        <v>1475</v>
      </c>
      <c r="B168" s="1" t="s">
        <v>1426</v>
      </c>
      <c r="C168" s="1" t="str">
        <f t="shared" si="4"/>
        <v>CNTAO</v>
      </c>
      <c r="D168" s="1" t="str">
        <f t="shared" si="5"/>
        <v>JPOSA</v>
      </c>
      <c r="E16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https://www.weiyun001.com/routePort?st=MWZ6BhXSNqkOI0ZGa%252FiNmw%253D%253D&amp;de=3agd5gO2ul%252BbrT%252BGjjf0BQ%253D%253D&amp;rg=MWZ6BhXSNqkOI0ZGa%252FiNmw%253D%253D&amp;rt=RHiB9uH2veEacXFy%252F4no2w%253D%253D</v>
      </c>
      <c r="F168" s="1" t="str">
        <f>VLOOKUP(Port_Optimization_001[[#This Row],[POL CODE]],POL!F:H,2,0)</f>
        <v>MWZ6BhXSNqkOI0ZGa%252FiNmw%253D%253D</v>
      </c>
      <c r="G168" s="1" t="str">
        <f>_xlfn.IFNA(VLOOKUP(Port_Optimization_001[[#This Row],[POD CODE]],POD!F:H,2,0),"")</f>
        <v>3agd5gO2ul%252BbrT%252BGjjf0BQ%253D%253D</v>
      </c>
      <c r="H168" s="1" t="str">
        <f>VLOOKUP(Port_Optimization_001[[#This Row],[POL CODE]],POL!F:H,3,0)</f>
        <v>MWZ6BhXSNqkOI0ZGa%252FiNmw%253D%253D</v>
      </c>
      <c r="I168" s="1" t="str">
        <f>_xlfn.IFNA(VLOOKUP(Port_Optimization_001[[#This Row],[POD CODE]],POD!F:H,3,0),"")</f>
        <v>RHiB9uH2veEacXFy%252F4no2w%253D%253D</v>
      </c>
    </row>
    <row r="169" spans="1:9" x14ac:dyDescent="0.3">
      <c r="A169" s="1" t="s">
        <v>1475</v>
      </c>
      <c r="B169" s="1" t="s">
        <v>1427</v>
      </c>
      <c r="C169" s="1" t="str">
        <f t="shared" si="4"/>
        <v>CNTAO</v>
      </c>
      <c r="D169" s="1" t="str">
        <f t="shared" si="5"/>
        <v>KRPTK</v>
      </c>
      <c r="E16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https://www.weiyun001.com/routePort?st=MWZ6BhXSNqkOI0ZGa%252FiNmw%253D%253D&amp;de=Tys%252FnB5n00pQrc%252Fq9NrIJQ%253D%253D&amp;rg=MWZ6BhXSNqkOI0ZGa%252FiNmw%253D%253D&amp;rt=KylH8Pr1ynXpbeNIUggL%252FQ%253D%253D</v>
      </c>
      <c r="F169" s="1" t="str">
        <f>VLOOKUP(Port_Optimization_001[[#This Row],[POL CODE]],POL!F:H,2,0)</f>
        <v>MWZ6BhXSNqkOI0ZGa%252FiNmw%253D%253D</v>
      </c>
      <c r="G169" s="1" t="str">
        <f>_xlfn.IFNA(VLOOKUP(Port_Optimization_001[[#This Row],[POD CODE]],POD!F:H,2,0),"")</f>
        <v>Tys%252FnB5n00pQrc%252Fq9NrIJQ%253D%253D</v>
      </c>
      <c r="H169" s="1" t="str">
        <f>VLOOKUP(Port_Optimization_001[[#This Row],[POL CODE]],POL!F:H,3,0)</f>
        <v>MWZ6BhXSNqkOI0ZGa%252FiNmw%253D%253D</v>
      </c>
      <c r="I169" s="1" t="str">
        <f>_xlfn.IFNA(VLOOKUP(Port_Optimization_001[[#This Row],[POD CODE]],POD!F:H,3,0),"")</f>
        <v>KylH8Pr1ynXpbeNIUggL%252FQ%253D%253D</v>
      </c>
    </row>
    <row r="170" spans="1:9" x14ac:dyDescent="0.3">
      <c r="A170" s="1" t="s">
        <v>1475</v>
      </c>
      <c r="B170" s="1" t="s">
        <v>1428</v>
      </c>
      <c r="C170" s="1" t="str">
        <f t="shared" si="4"/>
        <v>CNTAO</v>
      </c>
      <c r="D170" s="1" t="str">
        <f t="shared" si="5"/>
        <v>RUVYP</v>
      </c>
      <c r="E17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https://www.weiyun001.com/routePort?st=MWZ6BhXSNqkOI0ZGa%252FiNmw%253D%253D&amp;de=KlSWRjDAkivH8De8U2pqPQ%253D%253D&amp;rg=MWZ6BhXSNqkOI0ZGa%252FiNmw%253D%253D&amp;rt=r8vdJELtQ6mqgPEUMkhs6w%253D%253D</v>
      </c>
      <c r="F170" s="1" t="str">
        <f>VLOOKUP(Port_Optimization_001[[#This Row],[POL CODE]],POL!F:H,2,0)</f>
        <v>MWZ6BhXSNqkOI0ZGa%252FiNmw%253D%253D</v>
      </c>
      <c r="G170" s="1" t="str">
        <f>_xlfn.IFNA(VLOOKUP(Port_Optimization_001[[#This Row],[POD CODE]],POD!F:H,2,0),"")</f>
        <v>KlSWRjDAkivH8De8U2pqPQ%253D%253D</v>
      </c>
      <c r="H170" s="1" t="str">
        <f>VLOOKUP(Port_Optimization_001[[#This Row],[POL CODE]],POL!F:H,3,0)</f>
        <v>MWZ6BhXSNqkOI0ZGa%252FiNmw%253D%253D</v>
      </c>
      <c r="I170" s="1" t="str">
        <f>_xlfn.IFNA(VLOOKUP(Port_Optimization_001[[#This Row],[POD CODE]],POD!F:H,3,0),"")</f>
        <v>r8vdJELtQ6mqgPEUMkhs6w%253D%253D</v>
      </c>
    </row>
    <row r="171" spans="1:9" x14ac:dyDescent="0.3">
      <c r="A171" s="1" t="s">
        <v>1475</v>
      </c>
      <c r="B171" s="1" t="s">
        <v>1474</v>
      </c>
      <c r="C171" s="1" t="str">
        <f t="shared" si="4"/>
        <v>CNTAO</v>
      </c>
      <c r="D171" s="1" t="str">
        <f t="shared" si="5"/>
        <v>JPNGO</v>
      </c>
      <c r="E17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https://www.weiyun001.com/routePort?st=MWZ6BhXSNqkOI0ZGa%252FiNmw%253D%253D&amp;de=dbUO0BqxQw4h0hqlxw8ukw%253D%253D&amp;rg=MWZ6BhXSNqkOI0ZGa%252FiNmw%253D%253D&amp;rt=RHiB9uH2veEacXFy%252F4no2w%253D%253D</v>
      </c>
      <c r="F171" s="1" t="str">
        <f>VLOOKUP(Port_Optimization_001[[#This Row],[POL CODE]],POL!F:H,2,0)</f>
        <v>MWZ6BhXSNqkOI0ZGa%252FiNmw%253D%253D</v>
      </c>
      <c r="G171" s="1" t="str">
        <f>_xlfn.IFNA(VLOOKUP(Port_Optimization_001[[#This Row],[POD CODE]],POD!F:H,2,0),"")</f>
        <v>dbUO0BqxQw4h0hqlxw8ukw%253D%253D</v>
      </c>
      <c r="H171" s="1" t="str">
        <f>VLOOKUP(Port_Optimization_001[[#This Row],[POL CODE]],POL!F:H,3,0)</f>
        <v>MWZ6BhXSNqkOI0ZGa%252FiNmw%253D%253D</v>
      </c>
      <c r="I171" s="1" t="str">
        <f>_xlfn.IFNA(VLOOKUP(Port_Optimization_001[[#This Row],[POD CODE]],POD!F:H,3,0),"")</f>
        <v>RHiB9uH2veEacXFy%252F4no2w%253D%253D</v>
      </c>
    </row>
    <row r="172" spans="1:9" x14ac:dyDescent="0.3">
      <c r="A172" s="1" t="s">
        <v>1475</v>
      </c>
      <c r="B172" s="1" t="s">
        <v>1422</v>
      </c>
      <c r="C172" s="1" t="str">
        <f t="shared" si="4"/>
        <v>CNTAO</v>
      </c>
      <c r="D172" s="1" t="str">
        <f t="shared" si="5"/>
        <v>JPSBS</v>
      </c>
      <c r="E17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https://www.weiyun001.com/routePort?st=MWZ6BhXSNqkOI0ZGa%252FiNmw%253D%253D&amp;de=jVV2E8J20Ak8Jot1PMDX7g%253D%253D&amp;rg=MWZ6BhXSNqkOI0ZGa%252FiNmw%253D%253D&amp;rt=8qgsJj9tmT8zECAL0Nsagw%253D%253D</v>
      </c>
      <c r="F172" s="1" t="str">
        <f>VLOOKUP(Port_Optimization_001[[#This Row],[POL CODE]],POL!F:H,2,0)</f>
        <v>MWZ6BhXSNqkOI0ZGa%252FiNmw%253D%253D</v>
      </c>
      <c r="G172" s="1" t="str">
        <f>_xlfn.IFNA(VLOOKUP(Port_Optimization_001[[#This Row],[POD CODE]],POD!F:H,2,0),"")</f>
        <v>jVV2E8J20Ak8Jot1PMDX7g%253D%253D</v>
      </c>
      <c r="H172" s="1" t="str">
        <f>VLOOKUP(Port_Optimization_001[[#This Row],[POL CODE]],POL!F:H,3,0)</f>
        <v>MWZ6BhXSNqkOI0ZGa%252FiNmw%253D%253D</v>
      </c>
      <c r="I172" s="1" t="str">
        <f>_xlfn.IFNA(VLOOKUP(Port_Optimization_001[[#This Row],[POD CODE]],POD!F:H,3,0),"")</f>
        <v>8qgsJj9tmT8zECAL0Nsagw%253D%253D</v>
      </c>
    </row>
    <row r="173" spans="1:9" x14ac:dyDescent="0.3">
      <c r="A173" s="1" t="s">
        <v>1475</v>
      </c>
      <c r="B173" s="1" t="s">
        <v>1433</v>
      </c>
      <c r="C173" s="1" t="str">
        <f t="shared" si="4"/>
        <v>CNTAO</v>
      </c>
      <c r="D173" s="1" t="str">
        <f t="shared" si="5"/>
        <v>KRINC</v>
      </c>
      <c r="E17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https://www.weiyun001.com/routePort?st=MWZ6BhXSNqkOI0ZGa%252FiNmw%253D%253D&amp;de=2UAI1gOlHKk%252FIsLwoS%252Fqdw%253D%253D&amp;rg=MWZ6BhXSNqkOI0ZGa%252FiNmw%253D%253D&amp;rt=KylH8Pr1ynXpbeNIUggL%252FQ%253D%253D</v>
      </c>
      <c r="F173" s="1" t="str">
        <f>VLOOKUP(Port_Optimization_001[[#This Row],[POL CODE]],POL!F:H,2,0)</f>
        <v>MWZ6BhXSNqkOI0ZGa%252FiNmw%253D%253D</v>
      </c>
      <c r="G173" s="1" t="str">
        <f>_xlfn.IFNA(VLOOKUP(Port_Optimization_001[[#This Row],[POD CODE]],POD!F:H,2,0),"")</f>
        <v>2UAI1gOlHKk%252FIsLwoS%252Fqdw%253D%253D</v>
      </c>
      <c r="H173" s="1" t="str">
        <f>VLOOKUP(Port_Optimization_001[[#This Row],[POL CODE]],POL!F:H,3,0)</f>
        <v>MWZ6BhXSNqkOI0ZGa%252FiNmw%253D%253D</v>
      </c>
      <c r="I173" s="1" t="str">
        <f>_xlfn.IFNA(VLOOKUP(Port_Optimization_001[[#This Row],[POD CODE]],POD!F:H,3,0),"")</f>
        <v>KylH8Pr1ynXpbeNIUggL%252FQ%253D%253D</v>
      </c>
    </row>
    <row r="174" spans="1:9" x14ac:dyDescent="0.3">
      <c r="A174" s="1" t="s">
        <v>1475</v>
      </c>
      <c r="B174" s="1" t="s">
        <v>1480</v>
      </c>
      <c r="C174" s="1" t="str">
        <f t="shared" si="4"/>
        <v>CNTAO</v>
      </c>
      <c r="D174" s="1" t="str">
        <f t="shared" si="5"/>
        <v>JPTOY</v>
      </c>
      <c r="E17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https://www.weiyun001.com/routePort?st=MWZ6BhXSNqkOI0ZGa%252FiNmw%253D%253D&amp;de=D7QoB%252FZ15idD5nNWMdB6Mg%253D%253D&amp;rg=MWZ6BhXSNqkOI0ZGa%252FiNmw%253D%253D&amp;rt=8qgsJj9tmT8zECAL0Nsagw%253D%253D</v>
      </c>
      <c r="F174" s="1" t="str">
        <f>VLOOKUP(Port_Optimization_001[[#This Row],[POL CODE]],POL!F:H,2,0)</f>
        <v>MWZ6BhXSNqkOI0ZGa%252FiNmw%253D%253D</v>
      </c>
      <c r="G174" s="1" t="str">
        <f>_xlfn.IFNA(VLOOKUP(Port_Optimization_001[[#This Row],[POD CODE]],POD!F:H,2,0),"")</f>
        <v>D7QoB%252FZ15idD5nNWMdB6Mg%253D%253D</v>
      </c>
      <c r="H174" s="1" t="str">
        <f>VLOOKUP(Port_Optimization_001[[#This Row],[POL CODE]],POL!F:H,3,0)</f>
        <v>MWZ6BhXSNqkOI0ZGa%252FiNmw%253D%253D</v>
      </c>
      <c r="I174" s="1" t="str">
        <f>_xlfn.IFNA(VLOOKUP(Port_Optimization_001[[#This Row],[POD CODE]],POD!F:H,3,0),"")</f>
        <v>8qgsJj9tmT8zECAL0Nsagw%253D%253D</v>
      </c>
    </row>
    <row r="175" spans="1:9" x14ac:dyDescent="0.3">
      <c r="A175" s="1" t="s">
        <v>1475</v>
      </c>
      <c r="B175" s="1" t="s">
        <v>1425</v>
      </c>
      <c r="C175" s="1" t="str">
        <f t="shared" si="4"/>
        <v>CNTAO</v>
      </c>
      <c r="D175" s="1" t="str">
        <f t="shared" si="5"/>
        <v>JPIMI</v>
      </c>
      <c r="E17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https://www.weiyun001.com/routePort?st=MWZ6BhXSNqkOI0ZGa%252FiNmw%253D%253D&amp;de=TRQAybxJZwVsM0rUBE%252Fc2g%253D%253D&amp;rg=MWZ6BhXSNqkOI0ZGa%252FiNmw%253D%253D&amp;rt=8qgsJj9tmT8zECAL0Nsagw%253D%253D</v>
      </c>
      <c r="F175" s="1" t="str">
        <f>VLOOKUP(Port_Optimization_001[[#This Row],[POL CODE]],POL!F:H,2,0)</f>
        <v>MWZ6BhXSNqkOI0ZGa%252FiNmw%253D%253D</v>
      </c>
      <c r="G175" s="1" t="str">
        <f>_xlfn.IFNA(VLOOKUP(Port_Optimization_001[[#This Row],[POD CODE]],POD!F:H,2,0),"")</f>
        <v>TRQAybxJZwVsM0rUBE%252Fc2g%253D%253D</v>
      </c>
      <c r="H175" s="1" t="str">
        <f>VLOOKUP(Port_Optimization_001[[#This Row],[POL CODE]],POL!F:H,3,0)</f>
        <v>MWZ6BhXSNqkOI0ZGa%252FiNmw%253D%253D</v>
      </c>
      <c r="I175" s="1" t="str">
        <f>_xlfn.IFNA(VLOOKUP(Port_Optimization_001[[#This Row],[POD CODE]],POD!F:H,3,0),"")</f>
        <v>8qgsJj9tmT8zECAL0Nsagw%253D%253D</v>
      </c>
    </row>
    <row r="176" spans="1:9" x14ac:dyDescent="0.3">
      <c r="A176" s="1" t="s">
        <v>1475</v>
      </c>
      <c r="B176" s="1" t="s">
        <v>1481</v>
      </c>
      <c r="C176" s="1" t="str">
        <f t="shared" si="4"/>
        <v>CNTAO</v>
      </c>
      <c r="D176" s="1" t="str">
        <f t="shared" si="5"/>
        <v>KRCHA</v>
      </c>
      <c r="E17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https://www.weiyun001.com/routePort?st=MWZ6BhXSNqkOI0ZGa%252FiNmw%253D%253D&amp;de=kygQwF5lrTdK9bWZyqz0yQ%253D%253D&amp;rg=MWZ6BhXSNqkOI0ZGa%252FiNmw%253D%253D&amp;rt=KylH8Pr1ynXpbeNIUggL%252FQ%253D%253D</v>
      </c>
      <c r="F176" s="1" t="str">
        <f>VLOOKUP(Port_Optimization_001[[#This Row],[POL CODE]],POL!F:H,2,0)</f>
        <v>MWZ6BhXSNqkOI0ZGa%252FiNmw%253D%253D</v>
      </c>
      <c r="G176" s="1" t="str">
        <f>_xlfn.IFNA(VLOOKUP(Port_Optimization_001[[#This Row],[POD CODE]],POD!F:H,2,0),"")</f>
        <v>kygQwF5lrTdK9bWZyqz0yQ%253D%253D</v>
      </c>
      <c r="H176" s="1" t="str">
        <f>VLOOKUP(Port_Optimization_001[[#This Row],[POL CODE]],POL!F:H,3,0)</f>
        <v>MWZ6BhXSNqkOI0ZGa%252FiNmw%253D%253D</v>
      </c>
      <c r="I176" s="1" t="str">
        <f>_xlfn.IFNA(VLOOKUP(Port_Optimization_001[[#This Row],[POD CODE]],POD!F:H,3,0),"")</f>
        <v>KylH8Pr1ynXpbeNIUggL%252FQ%253D%253D</v>
      </c>
    </row>
    <row r="177" spans="1:9" x14ac:dyDescent="0.3">
      <c r="A177" s="1" t="s">
        <v>1475</v>
      </c>
      <c r="B177" s="1" t="s">
        <v>1424</v>
      </c>
      <c r="C177" s="1" t="str">
        <f t="shared" si="4"/>
        <v>CNTAO</v>
      </c>
      <c r="D177" s="1" t="str">
        <f t="shared" si="5"/>
        <v>RUVVO</v>
      </c>
      <c r="E17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https://www.weiyun001.com/routePort?st=MWZ6BhXSNqkOI0ZGa%252FiNmw%253D%253D&amp;de=s0PPhkNj1tJW6BNaLsGHUw%253D%253D&amp;rg=MWZ6BhXSNqkOI0ZGa%252FiNmw%253D%253D&amp;rt=r8vdJELtQ6mqgPEUMkhs6w%253D%253D</v>
      </c>
      <c r="F177" s="1" t="str">
        <f>VLOOKUP(Port_Optimization_001[[#This Row],[POL CODE]],POL!F:H,2,0)</f>
        <v>MWZ6BhXSNqkOI0ZGa%252FiNmw%253D%253D</v>
      </c>
      <c r="G177" s="1" t="str">
        <f>_xlfn.IFNA(VLOOKUP(Port_Optimization_001[[#This Row],[POD CODE]],POD!F:H,2,0),"")</f>
        <v>s0PPhkNj1tJW6BNaLsGHUw%253D%253D</v>
      </c>
      <c r="H177" s="1" t="str">
        <f>VLOOKUP(Port_Optimization_001[[#This Row],[POL CODE]],POL!F:H,3,0)</f>
        <v>MWZ6BhXSNqkOI0ZGa%252FiNmw%253D%253D</v>
      </c>
      <c r="I177" s="1" t="str">
        <f>_xlfn.IFNA(VLOOKUP(Port_Optimization_001[[#This Row],[POD CODE]],POD!F:H,3,0),"")</f>
        <v>r8vdJELtQ6mqgPEUMkhs6w%253D%253D</v>
      </c>
    </row>
    <row r="178" spans="1:9" x14ac:dyDescent="0.3">
      <c r="A178" s="1" t="s">
        <v>1482</v>
      </c>
      <c r="B178" s="1" t="s">
        <v>1444</v>
      </c>
      <c r="C178" s="1" t="str">
        <f t="shared" si="4"/>
        <v>CNTAO</v>
      </c>
      <c r="D178" s="1" t="str">
        <f t="shared" si="5"/>
        <v>RULED</v>
      </c>
      <c r="E17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https://www.weiyun001.com/routePort?st=MWZ6BhXSNqkOI0ZGa%252FiNmw%253D%253D&amp;de=T%252FZH9vP3IKjVGd9%252B16d1gw%253D%253D&amp;rg=MWZ6BhXSNqkOI0ZGa%252FiNmw%253D%253D&amp;rt=4LEC8reGgGb2C69AYY5Hqw%253D%253D</v>
      </c>
      <c r="F178" s="1" t="str">
        <f>VLOOKUP(Port_Optimization_001[[#This Row],[POL CODE]],POL!F:H,2,0)</f>
        <v>MWZ6BhXSNqkOI0ZGa%252FiNmw%253D%253D</v>
      </c>
      <c r="G178" s="1" t="str">
        <f>_xlfn.IFNA(VLOOKUP(Port_Optimization_001[[#This Row],[POD CODE]],POD!F:H,2,0),"")</f>
        <v>T%252FZH9vP3IKjVGd9%252B16d1gw%253D%253D</v>
      </c>
      <c r="H178" s="1" t="str">
        <f>VLOOKUP(Port_Optimization_001[[#This Row],[POL CODE]],POL!F:H,3,0)</f>
        <v>MWZ6BhXSNqkOI0ZGa%252FiNmw%253D%253D</v>
      </c>
      <c r="I178" s="1" t="str">
        <f>_xlfn.IFNA(VLOOKUP(Port_Optimization_001[[#This Row],[POD CODE]],POD!F:H,3,0),"")</f>
        <v>4LEC8reGgGb2C69AYY5Hqw%253D%253D</v>
      </c>
    </row>
    <row r="179" spans="1:9" x14ac:dyDescent="0.3">
      <c r="A179" s="1" t="s">
        <v>1482</v>
      </c>
      <c r="B179" s="1" t="s">
        <v>1449</v>
      </c>
      <c r="C179" s="1" t="str">
        <f t="shared" si="4"/>
        <v>CNTAO</v>
      </c>
      <c r="D179" s="1" t="str">
        <f t="shared" si="5"/>
        <v>RUNVS</v>
      </c>
      <c r="E17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https://www.weiyun001.com/routePort?st=MWZ6BhXSNqkOI0ZGa%252FiNmw%253D%253D&amp;de=MmR%252BVr7P8VwdE9cXHcRoVA%253D%253D&amp;rg=MWZ6BhXSNqkOI0ZGa%252FiNmw%253D%253D&amp;rt=r8vdJELtQ6mqgPEUMkhs6w%253D%253D</v>
      </c>
      <c r="F179" s="1" t="str">
        <f>VLOOKUP(Port_Optimization_001[[#This Row],[POL CODE]],POL!F:H,2,0)</f>
        <v>MWZ6BhXSNqkOI0ZGa%252FiNmw%253D%253D</v>
      </c>
      <c r="G179" s="1" t="str">
        <f>_xlfn.IFNA(VLOOKUP(Port_Optimization_001[[#This Row],[POD CODE]],POD!F:H,2,0),"")</f>
        <v>MmR%252BVr7P8VwdE9cXHcRoVA%253D%253D</v>
      </c>
      <c r="H179" s="1" t="str">
        <f>VLOOKUP(Port_Optimization_001[[#This Row],[POL CODE]],POL!F:H,3,0)</f>
        <v>MWZ6BhXSNqkOI0ZGa%252FiNmw%253D%253D</v>
      </c>
      <c r="I179" s="1" t="str">
        <f>_xlfn.IFNA(VLOOKUP(Port_Optimization_001[[#This Row],[POD CODE]],POD!F:H,3,0),"")</f>
        <v>r8vdJELtQ6mqgPEUMkhs6w%253D%253D</v>
      </c>
    </row>
    <row r="180" spans="1:9" x14ac:dyDescent="0.3">
      <c r="A180" s="1" t="s">
        <v>1482</v>
      </c>
      <c r="B180" s="1" t="s">
        <v>1405</v>
      </c>
      <c r="C180" s="1" t="str">
        <f t="shared" si="4"/>
        <v>CNTAO</v>
      </c>
      <c r="D180" s="1" t="str">
        <f t="shared" si="5"/>
        <v>PHMNL</v>
      </c>
      <c r="E18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https://www.weiyun001.com/routePort?st=MWZ6BhXSNqkOI0ZGa%252FiNmw%253D%253D&amp;de=uYYEeJiaA%252BEFqhyuOo%252FKJg%253D%253D&amp;rg=MWZ6BhXSNqkOI0ZGa%252FiNmw%253D%253D&amp;rt=1Cobu6af7PO5k9VHay4j%252Bg%253D%253D</v>
      </c>
      <c r="F180" s="1" t="str">
        <f>VLOOKUP(Port_Optimization_001[[#This Row],[POL CODE]],POL!F:H,2,0)</f>
        <v>MWZ6BhXSNqkOI0ZGa%252FiNmw%253D%253D</v>
      </c>
      <c r="G180" s="1" t="str">
        <f>_xlfn.IFNA(VLOOKUP(Port_Optimization_001[[#This Row],[POD CODE]],POD!F:H,2,0),"")</f>
        <v>uYYEeJiaA%252BEFqhyuOo%252FKJg%253D%253D</v>
      </c>
      <c r="H180" s="1" t="str">
        <f>VLOOKUP(Port_Optimization_001[[#This Row],[POL CODE]],POL!F:H,3,0)</f>
        <v>MWZ6BhXSNqkOI0ZGa%252FiNmw%253D%253D</v>
      </c>
      <c r="I180" s="1" t="str">
        <f>_xlfn.IFNA(VLOOKUP(Port_Optimization_001[[#This Row],[POD CODE]],POD!F:H,3,0),"")</f>
        <v>1Cobu6af7PO5k9VHay4j%252Bg%253D%253D</v>
      </c>
    </row>
    <row r="181" spans="1:9" x14ac:dyDescent="0.3">
      <c r="A181" s="1" t="s">
        <v>1482</v>
      </c>
      <c r="B181" s="1" t="s">
        <v>1408</v>
      </c>
      <c r="C181" s="1" t="str">
        <f t="shared" si="4"/>
        <v>CNTAO</v>
      </c>
      <c r="D181" s="1" t="str">
        <f t="shared" si="5"/>
        <v>THLCH</v>
      </c>
      <c r="E18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https://www.weiyun001.com/routePort?st=MWZ6BhXSNqkOI0ZGa%252FiNmw%253D%253D&amp;de=OxmUlXWM%252FAUYd%252FPp1zlwDA%253D%253D&amp;rg=MWZ6BhXSNqkOI0ZGa%252FiNmw%253D%253D&amp;rt=NFL9cTznAaa4CBynkPs%252B6Q%253D%253D</v>
      </c>
      <c r="F181" s="1" t="str">
        <f>VLOOKUP(Port_Optimization_001[[#This Row],[POL CODE]],POL!F:H,2,0)</f>
        <v>MWZ6BhXSNqkOI0ZGa%252FiNmw%253D%253D</v>
      </c>
      <c r="G181" s="1" t="str">
        <f>_xlfn.IFNA(VLOOKUP(Port_Optimization_001[[#This Row],[POD CODE]],POD!F:H,2,0),"")</f>
        <v>OxmUlXWM%252FAUYd%252FPp1zlwDA%253D%253D</v>
      </c>
      <c r="H181" s="1" t="str">
        <f>VLOOKUP(Port_Optimization_001[[#This Row],[POL CODE]],POL!F:H,3,0)</f>
        <v>MWZ6BhXSNqkOI0ZGa%252FiNmw%253D%253D</v>
      </c>
      <c r="I181" s="1" t="str">
        <f>_xlfn.IFNA(VLOOKUP(Port_Optimization_001[[#This Row],[POD CODE]],POD!F:H,3,0),"")</f>
        <v>NFL9cTznAaa4CBynkPs%252B6Q%253D%253D</v>
      </c>
    </row>
    <row r="182" spans="1:9" x14ac:dyDescent="0.3">
      <c r="A182" s="1" t="s">
        <v>1482</v>
      </c>
      <c r="B182" s="1" t="s">
        <v>1428</v>
      </c>
      <c r="C182" s="1" t="str">
        <f t="shared" si="4"/>
        <v>CNTAO</v>
      </c>
      <c r="D182" s="1" t="str">
        <f t="shared" si="5"/>
        <v>RUVYP</v>
      </c>
      <c r="E18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https://www.weiyun001.com/routePort?st=MWZ6BhXSNqkOI0ZGa%252FiNmw%253D%253D&amp;de=KlSWRjDAkivH8De8U2pqPQ%253D%253D&amp;rg=MWZ6BhXSNqkOI0ZGa%252FiNmw%253D%253D&amp;rt=r8vdJELtQ6mqgPEUMkhs6w%253D%253D</v>
      </c>
      <c r="F182" s="1" t="str">
        <f>VLOOKUP(Port_Optimization_001[[#This Row],[POL CODE]],POL!F:H,2,0)</f>
        <v>MWZ6BhXSNqkOI0ZGa%252FiNmw%253D%253D</v>
      </c>
      <c r="G182" s="1" t="str">
        <f>_xlfn.IFNA(VLOOKUP(Port_Optimization_001[[#This Row],[POD CODE]],POD!F:H,2,0),"")</f>
        <v>KlSWRjDAkivH8De8U2pqPQ%253D%253D</v>
      </c>
      <c r="H182" s="1" t="str">
        <f>VLOOKUP(Port_Optimization_001[[#This Row],[POL CODE]],POL!F:H,3,0)</f>
        <v>MWZ6BhXSNqkOI0ZGa%252FiNmw%253D%253D</v>
      </c>
      <c r="I182" s="1" t="str">
        <f>_xlfn.IFNA(VLOOKUP(Port_Optimization_001[[#This Row],[POD CODE]],POD!F:H,3,0),"")</f>
        <v>r8vdJELtQ6mqgPEUMkhs6w%253D%253D</v>
      </c>
    </row>
    <row r="183" spans="1:9" x14ac:dyDescent="0.3">
      <c r="A183" s="1" t="s">
        <v>1482</v>
      </c>
      <c r="B183" s="1" t="s">
        <v>1421</v>
      </c>
      <c r="C183" s="1" t="str">
        <f t="shared" si="4"/>
        <v>CNTAO</v>
      </c>
      <c r="D183" s="1" t="str">
        <f t="shared" si="5"/>
        <v>TWKHH</v>
      </c>
      <c r="E18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https://www.weiyun001.com/routePort?st=MWZ6BhXSNqkOI0ZGa%252FiNmw%253D%253D&amp;de=Vjyg7XTarHY%252B0lksvtw%252F7A%253D%253D&amp;rg=MWZ6BhXSNqkOI0ZGa%252FiNmw%253D%253D&amp;rt=Ha4nmfNgPHgKMiB9XpJc%252Bg%253D%253D</v>
      </c>
      <c r="F183" s="1" t="str">
        <f>VLOOKUP(Port_Optimization_001[[#This Row],[POL CODE]],POL!F:H,2,0)</f>
        <v>MWZ6BhXSNqkOI0ZGa%252FiNmw%253D%253D</v>
      </c>
      <c r="G183" s="1" t="str">
        <f>_xlfn.IFNA(VLOOKUP(Port_Optimization_001[[#This Row],[POD CODE]],POD!F:H,2,0),"")</f>
        <v>Vjyg7XTarHY%252B0lksvtw%252F7A%253D%253D</v>
      </c>
      <c r="H183" s="1" t="str">
        <f>VLOOKUP(Port_Optimization_001[[#This Row],[POL CODE]],POL!F:H,3,0)</f>
        <v>MWZ6BhXSNqkOI0ZGa%252FiNmw%253D%253D</v>
      </c>
      <c r="I183" s="1" t="str">
        <f>_xlfn.IFNA(VLOOKUP(Port_Optimization_001[[#This Row],[POD CODE]],POD!F:H,3,0),"")</f>
        <v>Ha4nmfNgPHgKMiB9XpJc%252Bg%253D%253D</v>
      </c>
    </row>
    <row r="184" spans="1:9" x14ac:dyDescent="0.3">
      <c r="A184" s="1" t="s">
        <v>1482</v>
      </c>
      <c r="B184" s="1" t="s">
        <v>1424</v>
      </c>
      <c r="C184" s="1" t="str">
        <f t="shared" si="4"/>
        <v>CNTAO</v>
      </c>
      <c r="D184" s="1" t="str">
        <f t="shared" si="5"/>
        <v>RUVVO</v>
      </c>
      <c r="E18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https://www.weiyun001.com/routePort?st=MWZ6BhXSNqkOI0ZGa%252FiNmw%253D%253D&amp;de=s0PPhkNj1tJW6BNaLsGHUw%253D%253D&amp;rg=MWZ6BhXSNqkOI0ZGa%252FiNmw%253D%253D&amp;rt=r8vdJELtQ6mqgPEUMkhs6w%253D%253D</v>
      </c>
      <c r="F184" s="1" t="str">
        <f>VLOOKUP(Port_Optimization_001[[#This Row],[POL CODE]],POL!F:H,2,0)</f>
        <v>MWZ6BhXSNqkOI0ZGa%252FiNmw%253D%253D</v>
      </c>
      <c r="G184" s="1" t="str">
        <f>_xlfn.IFNA(VLOOKUP(Port_Optimization_001[[#This Row],[POD CODE]],POD!F:H,2,0),"")</f>
        <v>s0PPhkNj1tJW6BNaLsGHUw%253D%253D</v>
      </c>
      <c r="H184" s="1" t="str">
        <f>VLOOKUP(Port_Optimization_001[[#This Row],[POL CODE]],POL!F:H,3,0)</f>
        <v>MWZ6BhXSNqkOI0ZGa%252FiNmw%253D%253D</v>
      </c>
      <c r="I184" s="1" t="str">
        <f>_xlfn.IFNA(VLOOKUP(Port_Optimization_001[[#This Row],[POD CODE]],POD!F:H,3,0),"")</f>
        <v>r8vdJELtQ6mqgPEUMkhs6w%253D%253D</v>
      </c>
    </row>
    <row r="185" spans="1:9" x14ac:dyDescent="0.3">
      <c r="A185" s="1" t="s">
        <v>1482</v>
      </c>
      <c r="B185" s="1" t="s">
        <v>1431</v>
      </c>
      <c r="C185" s="1" t="str">
        <f t="shared" si="4"/>
        <v>CNTAO</v>
      </c>
      <c r="D185" s="1" t="str">
        <f t="shared" si="5"/>
        <v>JPTYO</v>
      </c>
      <c r="E18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https://www.weiyun001.com/routePort?st=MWZ6BhXSNqkOI0ZGa%252FiNmw%253D%253D&amp;de=EYTjpOznR1kHh1upPcXcZQ%253D%253D&amp;rg=MWZ6BhXSNqkOI0ZGa%252FiNmw%253D%253D&amp;rt=RHiB9uH2veEacXFy%252F4no2w%253D%253D</v>
      </c>
      <c r="F185" s="1" t="str">
        <f>VLOOKUP(Port_Optimization_001[[#This Row],[POL CODE]],POL!F:H,2,0)</f>
        <v>MWZ6BhXSNqkOI0ZGa%252FiNmw%253D%253D</v>
      </c>
      <c r="G185" s="1" t="str">
        <f>_xlfn.IFNA(VLOOKUP(Port_Optimization_001[[#This Row],[POD CODE]],POD!F:H,2,0),"")</f>
        <v>EYTjpOznR1kHh1upPcXcZQ%253D%253D</v>
      </c>
      <c r="H185" s="1" t="str">
        <f>VLOOKUP(Port_Optimization_001[[#This Row],[POL CODE]],POL!F:H,3,0)</f>
        <v>MWZ6BhXSNqkOI0ZGa%252FiNmw%253D%253D</v>
      </c>
      <c r="I185" s="1" t="str">
        <f>_xlfn.IFNA(VLOOKUP(Port_Optimization_001[[#This Row],[POD CODE]],POD!F:H,3,0),"")</f>
        <v>RHiB9uH2veEacXFy%252F4no2w%253D%253D</v>
      </c>
    </row>
    <row r="186" spans="1:9" x14ac:dyDescent="0.3">
      <c r="A186" s="1" t="s">
        <v>1482</v>
      </c>
      <c r="B186" s="1" t="s">
        <v>1417</v>
      </c>
      <c r="C186" s="1" t="str">
        <f t="shared" si="4"/>
        <v>CNTAO</v>
      </c>
      <c r="D186" s="1" t="str">
        <f t="shared" si="5"/>
        <v>KRPUS</v>
      </c>
      <c r="E18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https://www.weiyun001.com/routePort?st=MWZ6BhXSNqkOI0ZGa%252FiNmw%253D%253D&amp;de=8pLSQnjoVis1CMK2AzkKQA%253D%253D&amp;rg=MWZ6BhXSNqkOI0ZGa%252FiNmw%253D%253D&amp;rt=KylH8Pr1ynXpbeNIUggL%252FQ%253D%253D</v>
      </c>
      <c r="F186" s="1" t="str">
        <f>VLOOKUP(Port_Optimization_001[[#This Row],[POL CODE]],POL!F:H,2,0)</f>
        <v>MWZ6BhXSNqkOI0ZGa%252FiNmw%253D%253D</v>
      </c>
      <c r="G186" s="1" t="str">
        <f>_xlfn.IFNA(VLOOKUP(Port_Optimization_001[[#This Row],[POD CODE]],POD!F:H,2,0),"")</f>
        <v>8pLSQnjoVis1CMK2AzkKQA%253D%253D</v>
      </c>
      <c r="H186" s="1" t="str">
        <f>VLOOKUP(Port_Optimization_001[[#This Row],[POL CODE]],POL!F:H,3,0)</f>
        <v>MWZ6BhXSNqkOI0ZGa%252FiNmw%253D%253D</v>
      </c>
      <c r="I186" s="1" t="str">
        <f>_xlfn.IFNA(VLOOKUP(Port_Optimization_001[[#This Row],[POD CODE]],POD!F:H,3,0),"")</f>
        <v>KylH8Pr1ynXpbeNIUggL%252FQ%253D%253D</v>
      </c>
    </row>
    <row r="187" spans="1:9" x14ac:dyDescent="0.3">
      <c r="A187" s="1" t="s">
        <v>1483</v>
      </c>
      <c r="B187" s="1" t="s">
        <v>1435</v>
      </c>
      <c r="C187" s="1" t="str">
        <f t="shared" si="4"/>
        <v>CNSHA</v>
      </c>
      <c r="D187" s="1" t="str">
        <f t="shared" si="5"/>
        <v>USLGB</v>
      </c>
      <c r="E18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https://www.weiyun001.com/routePort?st=lF23NVeEnJTbYGRyP11WaA%253D%253D&amp;de=S9X4TMR2ncdJuyYiyqnbig%253D%253D&amp;rg=lF23NVeEnJTbYGRyP11WaA%253D%253D&amp;rt=uCIAr5lckiHGmGe0VyVVkw%253D%253D</v>
      </c>
      <c r="F187" s="1" t="str">
        <f>VLOOKUP(Port_Optimization_001[[#This Row],[POL CODE]],POL!F:H,2,0)</f>
        <v>lF23NVeEnJTbYGRyP11WaA%253D%253D</v>
      </c>
      <c r="G187" s="1" t="str">
        <f>_xlfn.IFNA(VLOOKUP(Port_Optimization_001[[#This Row],[POD CODE]],POD!F:H,2,0),"")</f>
        <v>S9X4TMR2ncdJuyYiyqnbig%253D%253D</v>
      </c>
      <c r="H187" s="1" t="str">
        <f>VLOOKUP(Port_Optimization_001[[#This Row],[POL CODE]],POL!F:H,3,0)</f>
        <v>lF23NVeEnJTbYGRyP11WaA%253D%253D</v>
      </c>
      <c r="I187" s="1" t="str">
        <f>_xlfn.IFNA(VLOOKUP(Port_Optimization_001[[#This Row],[POD CODE]],POD!F:H,3,0),"")</f>
        <v>uCIAr5lckiHGmGe0VyVVkw%253D%253D</v>
      </c>
    </row>
    <row r="188" spans="1:9" x14ac:dyDescent="0.3">
      <c r="A188" s="1" t="s">
        <v>1483</v>
      </c>
      <c r="B188" s="1" t="s">
        <v>1436</v>
      </c>
      <c r="C188" s="1" t="str">
        <f t="shared" si="4"/>
        <v>CNSHA</v>
      </c>
      <c r="D188" s="1" t="str">
        <f t="shared" si="5"/>
        <v>USLAX</v>
      </c>
      <c r="E18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https://www.weiyun001.com/routePort?st=lF23NVeEnJTbYGRyP11WaA%253D%253D&amp;de=iwosRMDzfh0L9To05g8QbQ%253D%253D&amp;rg=lF23NVeEnJTbYGRyP11WaA%253D%253D&amp;rt=uCIAr5lckiHGmGe0VyVVkw%253D%253D</v>
      </c>
      <c r="F188" s="1" t="str">
        <f>VLOOKUP(Port_Optimization_001[[#This Row],[POL CODE]],POL!F:H,2,0)</f>
        <v>lF23NVeEnJTbYGRyP11WaA%253D%253D</v>
      </c>
      <c r="G188" s="1" t="str">
        <f>_xlfn.IFNA(VLOOKUP(Port_Optimization_001[[#This Row],[POD CODE]],POD!F:H,2,0),"")</f>
        <v>iwosRMDzfh0L9To05g8QbQ%253D%253D</v>
      </c>
      <c r="H188" s="1" t="str">
        <f>VLOOKUP(Port_Optimization_001[[#This Row],[POL CODE]],POL!F:H,3,0)</f>
        <v>lF23NVeEnJTbYGRyP11WaA%253D%253D</v>
      </c>
      <c r="I188" s="1" t="str">
        <f>_xlfn.IFNA(VLOOKUP(Port_Optimization_001[[#This Row],[POD CODE]],POD!F:H,3,0),"")</f>
        <v>uCIAr5lckiHGmGe0VyVVkw%253D%253D</v>
      </c>
    </row>
    <row r="189" spans="1:9" x14ac:dyDescent="0.3">
      <c r="A189" s="1" t="s">
        <v>1483</v>
      </c>
      <c r="B189" s="1" t="s">
        <v>1437</v>
      </c>
      <c r="C189" s="1" t="str">
        <f t="shared" si="4"/>
        <v>CNSHA</v>
      </c>
      <c r="D189" s="1" t="str">
        <f t="shared" si="5"/>
        <v>USTIW</v>
      </c>
      <c r="E18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https://www.weiyun001.com/routePort?st=lF23NVeEnJTbYGRyP11WaA%253D%253D&amp;de=zGTbVBH1MOiZD2ygklzJNQ%253D%253D&amp;rg=lF23NVeEnJTbYGRyP11WaA%253D%253D&amp;rt=uCIAr5lckiHGmGe0VyVVkw%253D%253D</v>
      </c>
      <c r="F189" s="1" t="str">
        <f>VLOOKUP(Port_Optimization_001[[#This Row],[POL CODE]],POL!F:H,2,0)</f>
        <v>lF23NVeEnJTbYGRyP11WaA%253D%253D</v>
      </c>
      <c r="G189" s="1" t="str">
        <f>_xlfn.IFNA(VLOOKUP(Port_Optimization_001[[#This Row],[POD CODE]],POD!F:H,2,0),"")</f>
        <v>zGTbVBH1MOiZD2ygklzJNQ%253D%253D</v>
      </c>
      <c r="H189" s="1" t="str">
        <f>VLOOKUP(Port_Optimization_001[[#This Row],[POL CODE]],POL!F:H,3,0)</f>
        <v>lF23NVeEnJTbYGRyP11WaA%253D%253D</v>
      </c>
      <c r="I189" s="1" t="str">
        <f>_xlfn.IFNA(VLOOKUP(Port_Optimization_001[[#This Row],[POD CODE]],POD!F:H,3,0),"")</f>
        <v>uCIAr5lckiHGmGe0VyVVkw%253D%253D</v>
      </c>
    </row>
    <row r="190" spans="1:9" x14ac:dyDescent="0.3">
      <c r="A190" s="1" t="s">
        <v>1483</v>
      </c>
      <c r="B190" s="1" t="s">
        <v>1438</v>
      </c>
      <c r="C190" s="1" t="str">
        <f t="shared" si="4"/>
        <v>CNSHA</v>
      </c>
      <c r="D190" s="1" t="str">
        <f t="shared" si="5"/>
        <v>USSEA</v>
      </c>
      <c r="E19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https://www.weiyun001.com/routePort?st=lF23NVeEnJTbYGRyP11WaA%253D%253D&amp;de=2FE9O8qTioozoj95jpvnWg%253D%253D&amp;rg=lF23NVeEnJTbYGRyP11WaA%253D%253D&amp;rt=uCIAr5lckiHGmGe0VyVVkw%253D%253D</v>
      </c>
      <c r="F190" s="1" t="str">
        <f>VLOOKUP(Port_Optimization_001[[#This Row],[POL CODE]],POL!F:H,2,0)</f>
        <v>lF23NVeEnJTbYGRyP11WaA%253D%253D</v>
      </c>
      <c r="G190" s="1" t="str">
        <f>_xlfn.IFNA(VLOOKUP(Port_Optimization_001[[#This Row],[POD CODE]],POD!F:H,2,0),"")</f>
        <v>2FE9O8qTioozoj95jpvnWg%253D%253D</v>
      </c>
      <c r="H190" s="1" t="str">
        <f>VLOOKUP(Port_Optimization_001[[#This Row],[POL CODE]],POL!F:H,3,0)</f>
        <v>lF23NVeEnJTbYGRyP11WaA%253D%253D</v>
      </c>
      <c r="I190" s="1" t="str">
        <f>_xlfn.IFNA(VLOOKUP(Port_Optimization_001[[#This Row],[POD CODE]],POD!F:H,3,0),"")</f>
        <v>uCIAr5lckiHGmGe0VyVVkw%253D%253D</v>
      </c>
    </row>
    <row r="191" spans="1:9" x14ac:dyDescent="0.3">
      <c r="A191" s="1" t="s">
        <v>1483</v>
      </c>
      <c r="B191" s="1" t="s">
        <v>1439</v>
      </c>
      <c r="C191" s="1" t="str">
        <f t="shared" si="4"/>
        <v>CNSHA</v>
      </c>
      <c r="D191" s="1" t="str">
        <f t="shared" si="5"/>
        <v>USSAV</v>
      </c>
      <c r="E19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https://www.weiyun001.com/routePort?st=lF23NVeEnJTbYGRyP11WaA%253D%253D&amp;de=xoMpcfJkUafAN36aydRszQ%253D%253D&amp;rg=lF23NVeEnJTbYGRyP11WaA%253D%253D&amp;rt=2iP9zD499VuttWpU6DlwqA%253D%253D</v>
      </c>
      <c r="F191" s="1" t="str">
        <f>VLOOKUP(Port_Optimization_001[[#This Row],[POL CODE]],POL!F:H,2,0)</f>
        <v>lF23NVeEnJTbYGRyP11WaA%253D%253D</v>
      </c>
      <c r="G191" s="1" t="str">
        <f>_xlfn.IFNA(VLOOKUP(Port_Optimization_001[[#This Row],[POD CODE]],POD!F:H,2,0),"")</f>
        <v>xoMpcfJkUafAN36aydRszQ%253D%253D</v>
      </c>
      <c r="H191" s="1" t="str">
        <f>VLOOKUP(Port_Optimization_001[[#This Row],[POL CODE]],POL!F:H,3,0)</f>
        <v>lF23NVeEnJTbYGRyP11WaA%253D%253D</v>
      </c>
      <c r="I191" s="1" t="str">
        <f>_xlfn.IFNA(VLOOKUP(Port_Optimization_001[[#This Row],[POD CODE]],POD!F:H,3,0),"")</f>
        <v>2iP9zD499VuttWpU6DlwqA%253D%253D</v>
      </c>
    </row>
    <row r="192" spans="1:9" x14ac:dyDescent="0.3">
      <c r="A192" s="1" t="s">
        <v>1483</v>
      </c>
      <c r="B192" s="1" t="s">
        <v>1440</v>
      </c>
      <c r="C192" s="1" t="str">
        <f t="shared" si="4"/>
        <v>CNSHA</v>
      </c>
      <c r="D192" s="1" t="str">
        <f t="shared" si="5"/>
        <v>USHOU</v>
      </c>
      <c r="E19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https://www.weiyun001.com/routePort?st=lF23NVeEnJTbYGRyP11WaA%253D%253D&amp;de=Ojtfn48UntAUGFcYEHOQXw%253D%253D&amp;rg=lF23NVeEnJTbYGRyP11WaA%253D%253D&amp;rt=2iP9zD499VuttWpU6DlwqA%253D%253D</v>
      </c>
      <c r="F192" s="1" t="str">
        <f>VLOOKUP(Port_Optimization_001[[#This Row],[POL CODE]],POL!F:H,2,0)</f>
        <v>lF23NVeEnJTbYGRyP11WaA%253D%253D</v>
      </c>
      <c r="G192" s="1" t="str">
        <f>_xlfn.IFNA(VLOOKUP(Port_Optimization_001[[#This Row],[POD CODE]],POD!F:H,2,0),"")</f>
        <v>Ojtfn48UntAUGFcYEHOQXw%253D%253D</v>
      </c>
      <c r="H192" s="1" t="str">
        <f>VLOOKUP(Port_Optimization_001[[#This Row],[POL CODE]],POL!F:H,3,0)</f>
        <v>lF23NVeEnJTbYGRyP11WaA%253D%253D</v>
      </c>
      <c r="I192" s="1" t="str">
        <f>_xlfn.IFNA(VLOOKUP(Port_Optimization_001[[#This Row],[POD CODE]],POD!F:H,3,0),"")</f>
        <v>2iP9zD499VuttWpU6DlwqA%253D%253D</v>
      </c>
    </row>
    <row r="193" spans="1:9" x14ac:dyDescent="0.3">
      <c r="A193" s="1" t="s">
        <v>1483</v>
      </c>
      <c r="B193" s="1" t="s">
        <v>1441</v>
      </c>
      <c r="C193" s="1" t="str">
        <f t="shared" si="4"/>
        <v>CNSHA</v>
      </c>
      <c r="D193" s="1" t="str">
        <f t="shared" si="5"/>
        <v>USNYC</v>
      </c>
      <c r="E19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https://www.weiyun001.com/routePort?st=lF23NVeEnJTbYGRyP11WaA%253D%253D&amp;de=SMCumFXp2sN6a1GTH%252F2okQ%253D%253D&amp;rg=lF23NVeEnJTbYGRyP11WaA%253D%253D&amp;rt=2iP9zD499VuttWpU6DlwqA%253D%253D</v>
      </c>
      <c r="F193" s="1" t="str">
        <f>VLOOKUP(Port_Optimization_001[[#This Row],[POL CODE]],POL!F:H,2,0)</f>
        <v>lF23NVeEnJTbYGRyP11WaA%253D%253D</v>
      </c>
      <c r="G193" s="1" t="str">
        <f>_xlfn.IFNA(VLOOKUP(Port_Optimization_001[[#This Row],[POD CODE]],POD!F:H,2,0),"")</f>
        <v>SMCumFXp2sN6a1GTH%252F2okQ%253D%253D</v>
      </c>
      <c r="H193" s="1" t="str">
        <f>VLOOKUP(Port_Optimization_001[[#This Row],[POL CODE]],POL!F:H,3,0)</f>
        <v>lF23NVeEnJTbYGRyP11WaA%253D%253D</v>
      </c>
      <c r="I193" s="1" t="str">
        <f>_xlfn.IFNA(VLOOKUP(Port_Optimization_001[[#This Row],[POD CODE]],POD!F:H,3,0),"")</f>
        <v>2iP9zD499VuttWpU6DlwqA%253D%253D</v>
      </c>
    </row>
    <row r="194" spans="1:9" x14ac:dyDescent="0.3">
      <c r="A194" s="1" t="s">
        <v>1483</v>
      </c>
      <c r="B194" s="1" t="s">
        <v>1430</v>
      </c>
      <c r="C194" s="1" t="str">
        <f t="shared" ref="C194:C257" si="6">IF(_xlfn.TEXTBEFORE(_xlfn.TEXTAFTER(A194,"|"),"|")="CNRZH","CNTAO",_xlfn.TEXTBEFORE(_xlfn.TEXTAFTER(A194,"|"),"|"))</f>
        <v>CNSHA</v>
      </c>
      <c r="D194" s="1" t="str">
        <f t="shared" ref="D194:D257" si="7">_xlfn.TEXTBEFORE(_xlfn.TEXTAFTER(B194,"|"),"|")</f>
        <v>CAVAN</v>
      </c>
      <c r="E19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https://www.weiyun001.com/routePort?st=lF23NVeEnJTbYGRyP11WaA%253D%253D&amp;de=1kkaoo2GPISaBR1Jx7dWKw%253D%253D&amp;rg=lF23NVeEnJTbYGRyP11WaA%253D%253D&amp;rt=ngG2%252FjG4NlHb5ZGdAHVP4g%253D%253D</v>
      </c>
      <c r="F194" s="1" t="str">
        <f>VLOOKUP(Port_Optimization_001[[#This Row],[POL CODE]],POL!F:H,2,0)</f>
        <v>lF23NVeEnJTbYGRyP11WaA%253D%253D</v>
      </c>
      <c r="G194" s="1" t="str">
        <f>_xlfn.IFNA(VLOOKUP(Port_Optimization_001[[#This Row],[POD CODE]],POD!F:H,2,0),"")</f>
        <v>1kkaoo2GPISaBR1Jx7dWKw%253D%253D</v>
      </c>
      <c r="H194" s="1" t="str">
        <f>VLOOKUP(Port_Optimization_001[[#This Row],[POL CODE]],POL!F:H,3,0)</f>
        <v>lF23NVeEnJTbYGRyP11WaA%253D%253D</v>
      </c>
      <c r="I194" s="1" t="str">
        <f>_xlfn.IFNA(VLOOKUP(Port_Optimization_001[[#This Row],[POD CODE]],POD!F:H,3,0),"")</f>
        <v>ngG2%252FjG4NlHb5ZGdAHVP4g%253D%253D</v>
      </c>
    </row>
    <row r="195" spans="1:9" x14ac:dyDescent="0.3">
      <c r="A195" s="1" t="s">
        <v>1483</v>
      </c>
      <c r="B195" s="1" t="s">
        <v>1442</v>
      </c>
      <c r="C195" s="1" t="str">
        <f t="shared" si="6"/>
        <v>CNSHA</v>
      </c>
      <c r="D195" s="1" t="str">
        <f t="shared" si="7"/>
        <v>CAPRR</v>
      </c>
      <c r="E19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https://www.weiyun001.com/routePort?st=lF23NVeEnJTbYGRyP11WaA%253D%253D&amp;de=QFhu1BLIxJ9f0F5WJSPNxA%253D%253D&amp;rg=lF23NVeEnJTbYGRyP11WaA%253D%253D&amp;rt=ngG2%252FjG4NlHb5ZGdAHVP4g%253D%253D</v>
      </c>
      <c r="F195" s="1" t="str">
        <f>VLOOKUP(Port_Optimization_001[[#This Row],[POL CODE]],POL!F:H,2,0)</f>
        <v>lF23NVeEnJTbYGRyP11WaA%253D%253D</v>
      </c>
      <c r="G195" s="1" t="str">
        <f>_xlfn.IFNA(VLOOKUP(Port_Optimization_001[[#This Row],[POD CODE]],POD!F:H,2,0),"")</f>
        <v>QFhu1BLIxJ9f0F5WJSPNxA%253D%253D</v>
      </c>
      <c r="H195" s="1" t="str">
        <f>VLOOKUP(Port_Optimization_001[[#This Row],[POL CODE]],POL!F:H,3,0)</f>
        <v>lF23NVeEnJTbYGRyP11WaA%253D%253D</v>
      </c>
      <c r="I195" s="1" t="str">
        <f>_xlfn.IFNA(VLOOKUP(Port_Optimization_001[[#This Row],[POD CODE]],POD!F:H,3,0),"")</f>
        <v>ngG2%252FjG4NlHb5ZGdAHVP4g%253D%253D</v>
      </c>
    </row>
    <row r="196" spans="1:9" x14ac:dyDescent="0.3">
      <c r="A196" s="1" t="s">
        <v>1483</v>
      </c>
      <c r="B196" s="1" t="s">
        <v>1398</v>
      </c>
      <c r="C196" s="1" t="str">
        <f t="shared" si="6"/>
        <v>CNSHA</v>
      </c>
      <c r="D196" s="1" t="str">
        <f t="shared" si="7"/>
        <v>MXZLO</v>
      </c>
      <c r="E19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https://www.weiyun001.com/routePort?st=lF23NVeEnJTbYGRyP11WaA%253D%253D&amp;de=2Hr1qa96pxp8yXraB9fpQw%253D%253D&amp;rg=lF23NVeEnJTbYGRyP11WaA%253D%253D&amp;rt=gR2po4rysa6ynGuDnPrqMA%253D%253D</v>
      </c>
      <c r="F196" s="1" t="str">
        <f>VLOOKUP(Port_Optimization_001[[#This Row],[POL CODE]],POL!F:H,2,0)</f>
        <v>lF23NVeEnJTbYGRyP11WaA%253D%253D</v>
      </c>
      <c r="G196" s="1" t="str">
        <f>_xlfn.IFNA(VLOOKUP(Port_Optimization_001[[#This Row],[POD CODE]],POD!F:H,2,0),"")</f>
        <v>2Hr1qa96pxp8yXraB9fpQw%253D%253D</v>
      </c>
      <c r="H196" s="1" t="str">
        <f>VLOOKUP(Port_Optimization_001[[#This Row],[POL CODE]],POL!F:H,3,0)</f>
        <v>lF23NVeEnJTbYGRyP11WaA%253D%253D</v>
      </c>
      <c r="I196" s="1" t="str">
        <f>_xlfn.IFNA(VLOOKUP(Port_Optimization_001[[#This Row],[POD CODE]],POD!F:H,3,0),"")</f>
        <v>gR2po4rysa6ynGuDnPrqMA%253D%253D</v>
      </c>
    </row>
    <row r="197" spans="1:9" x14ac:dyDescent="0.3">
      <c r="A197" s="1" t="s">
        <v>1483</v>
      </c>
      <c r="B197" s="1" t="s">
        <v>1443</v>
      </c>
      <c r="C197" s="1" t="str">
        <f t="shared" si="6"/>
        <v>CNSHA</v>
      </c>
      <c r="D197" s="1" t="str">
        <f t="shared" si="7"/>
        <v>MXLZC</v>
      </c>
      <c r="E19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https://www.weiyun001.com/routePort?st=lF23NVeEnJTbYGRyP11WaA%253D%253D&amp;de=RsAsK60We34Oymz8lfTpWQ%253D%253D&amp;rg=lF23NVeEnJTbYGRyP11WaA%253D%253D&amp;rt=gR2po4rysa6ynGuDnPrqMA%253D%253D</v>
      </c>
      <c r="F197" s="1" t="str">
        <f>VLOOKUP(Port_Optimization_001[[#This Row],[POL CODE]],POL!F:H,2,0)</f>
        <v>lF23NVeEnJTbYGRyP11WaA%253D%253D</v>
      </c>
      <c r="G197" s="1" t="str">
        <f>_xlfn.IFNA(VLOOKUP(Port_Optimization_001[[#This Row],[POD CODE]],POD!F:H,2,0),"")</f>
        <v>RsAsK60We34Oymz8lfTpWQ%253D%253D</v>
      </c>
      <c r="H197" s="1" t="str">
        <f>VLOOKUP(Port_Optimization_001[[#This Row],[POL CODE]],POL!F:H,3,0)</f>
        <v>lF23NVeEnJTbYGRyP11WaA%253D%253D</v>
      </c>
      <c r="I197" s="1" t="str">
        <f>_xlfn.IFNA(VLOOKUP(Port_Optimization_001[[#This Row],[POD CODE]],POD!F:H,3,0),"")</f>
        <v>gR2po4rysa6ynGuDnPrqMA%253D%253D</v>
      </c>
    </row>
    <row r="198" spans="1:9" x14ac:dyDescent="0.3">
      <c r="A198" s="1" t="s">
        <v>1483</v>
      </c>
      <c r="B198" s="1" t="s">
        <v>1400</v>
      </c>
      <c r="C198" s="1" t="str">
        <f t="shared" si="6"/>
        <v>CNSHA</v>
      </c>
      <c r="D198" s="1" t="str">
        <f t="shared" si="7"/>
        <v>NLRTM</v>
      </c>
      <c r="E19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https://www.weiyun001.com/routePort?st=lF23NVeEnJTbYGRyP11WaA%253D%253D&amp;de=h375AOSlvQCFgmjT%252F5HSqA%253D%253D&amp;rg=lF23NVeEnJTbYGRyP11WaA%253D%253D&amp;rt=IV85J0mX0Segto%252FH4Zk5Tg%253D%253D</v>
      </c>
      <c r="F198" s="1" t="str">
        <f>VLOOKUP(Port_Optimization_001[[#This Row],[POL CODE]],POL!F:H,2,0)</f>
        <v>lF23NVeEnJTbYGRyP11WaA%253D%253D</v>
      </c>
      <c r="G198" s="1" t="str">
        <f>_xlfn.IFNA(VLOOKUP(Port_Optimization_001[[#This Row],[POD CODE]],POD!F:H,2,0),"")</f>
        <v>h375AOSlvQCFgmjT%252F5HSqA%253D%253D</v>
      </c>
      <c r="H198" s="1" t="str">
        <f>VLOOKUP(Port_Optimization_001[[#This Row],[POL CODE]],POL!F:H,3,0)</f>
        <v>lF23NVeEnJTbYGRyP11WaA%253D%253D</v>
      </c>
      <c r="I198" s="1" t="str">
        <f>_xlfn.IFNA(VLOOKUP(Port_Optimization_001[[#This Row],[POD CODE]],POD!F:H,3,0),"")</f>
        <v>IV85J0mX0Segto%252FH4Zk5Tg%253D%253D</v>
      </c>
    </row>
    <row r="199" spans="1:9" x14ac:dyDescent="0.3">
      <c r="A199" s="1" t="s">
        <v>1483</v>
      </c>
      <c r="B199" s="1" t="s">
        <v>1444</v>
      </c>
      <c r="C199" s="1" t="str">
        <f t="shared" si="6"/>
        <v>CNSHA</v>
      </c>
      <c r="D199" s="1" t="str">
        <f t="shared" si="7"/>
        <v>RULED</v>
      </c>
      <c r="E19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https://www.weiyun001.com/routePort?st=lF23NVeEnJTbYGRyP11WaA%253D%253D&amp;de=T%252FZH9vP3IKjVGd9%252B16d1gw%253D%253D&amp;rg=lF23NVeEnJTbYGRyP11WaA%253D%253D&amp;rt=4LEC8reGgGb2C69AYY5Hqw%253D%253D</v>
      </c>
      <c r="F199" s="1" t="str">
        <f>VLOOKUP(Port_Optimization_001[[#This Row],[POL CODE]],POL!F:H,2,0)</f>
        <v>lF23NVeEnJTbYGRyP11WaA%253D%253D</v>
      </c>
      <c r="G199" s="1" t="str">
        <f>_xlfn.IFNA(VLOOKUP(Port_Optimization_001[[#This Row],[POD CODE]],POD!F:H,2,0),"")</f>
        <v>T%252FZH9vP3IKjVGd9%252B16d1gw%253D%253D</v>
      </c>
      <c r="H199" s="1" t="str">
        <f>VLOOKUP(Port_Optimization_001[[#This Row],[POL CODE]],POL!F:H,3,0)</f>
        <v>lF23NVeEnJTbYGRyP11WaA%253D%253D</v>
      </c>
      <c r="I199" s="1" t="str">
        <f>_xlfn.IFNA(VLOOKUP(Port_Optimization_001[[#This Row],[POD CODE]],POD!F:H,3,0),"")</f>
        <v>4LEC8reGgGb2C69AYY5Hqw%253D%253D</v>
      </c>
    </row>
    <row r="200" spans="1:9" x14ac:dyDescent="0.3">
      <c r="A200" s="1" t="s">
        <v>1483</v>
      </c>
      <c r="B200" s="1" t="s">
        <v>1445</v>
      </c>
      <c r="C200" s="1" t="str">
        <f t="shared" si="6"/>
        <v>CNSHA</v>
      </c>
      <c r="D200" s="1" t="str">
        <f t="shared" si="7"/>
        <v>GBSOU</v>
      </c>
      <c r="E20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https://www.weiyun001.com/routePort?st=lF23NVeEnJTbYGRyP11WaA%253D%253D&amp;de=B%252FG9%252BpFYKLtOyAa452pBlQ%253D%253D&amp;rg=lF23NVeEnJTbYGRyP11WaA%253D%253D&amp;rt=IV85J0mX0Segto%252FH4Zk5Tg%253D%253D</v>
      </c>
      <c r="F200" s="1" t="str">
        <f>VLOOKUP(Port_Optimization_001[[#This Row],[POL CODE]],POL!F:H,2,0)</f>
        <v>lF23NVeEnJTbYGRyP11WaA%253D%253D</v>
      </c>
      <c r="G200" s="1" t="str">
        <f>_xlfn.IFNA(VLOOKUP(Port_Optimization_001[[#This Row],[POD CODE]],POD!F:H,2,0),"")</f>
        <v>B%252FG9%252BpFYKLtOyAa452pBlQ%253D%253D</v>
      </c>
      <c r="H200" s="1" t="str">
        <f>VLOOKUP(Port_Optimization_001[[#This Row],[POL CODE]],POL!F:H,3,0)</f>
        <v>lF23NVeEnJTbYGRyP11WaA%253D%253D</v>
      </c>
      <c r="I200" s="1" t="str">
        <f>_xlfn.IFNA(VLOOKUP(Port_Optimization_001[[#This Row],[POD CODE]],POD!F:H,3,0),"")</f>
        <v>IV85J0mX0Segto%252FH4Zk5Tg%253D%253D</v>
      </c>
    </row>
    <row r="201" spans="1:9" x14ac:dyDescent="0.3">
      <c r="A201" s="1" t="s">
        <v>1483</v>
      </c>
      <c r="B201" s="1" t="s">
        <v>1399</v>
      </c>
      <c r="C201" s="1" t="str">
        <f t="shared" si="6"/>
        <v>CNSHA</v>
      </c>
      <c r="D201" s="1" t="str">
        <f t="shared" si="7"/>
        <v>GBFXT</v>
      </c>
      <c r="E20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https://www.weiyun001.com/routePort?st=lF23NVeEnJTbYGRyP11WaA%253D%253D&amp;de=lyIBtN5jVeYlTjYD7kLYaQ%253D%253D&amp;rg=lF23NVeEnJTbYGRyP11WaA%253D%253D&amp;rt=IV85J0mX0Segto%252FH4Zk5Tg%253D%253D</v>
      </c>
      <c r="F201" s="1" t="str">
        <f>VLOOKUP(Port_Optimization_001[[#This Row],[POL CODE]],POL!F:H,2,0)</f>
        <v>lF23NVeEnJTbYGRyP11WaA%253D%253D</v>
      </c>
      <c r="G201" s="1" t="str">
        <f>_xlfn.IFNA(VLOOKUP(Port_Optimization_001[[#This Row],[POD CODE]],POD!F:H,2,0),"")</f>
        <v>lyIBtN5jVeYlTjYD7kLYaQ%253D%253D</v>
      </c>
      <c r="H201" s="1" t="str">
        <f>VLOOKUP(Port_Optimization_001[[#This Row],[POL CODE]],POL!F:H,3,0)</f>
        <v>lF23NVeEnJTbYGRyP11WaA%253D%253D</v>
      </c>
      <c r="I201" s="1" t="str">
        <f>_xlfn.IFNA(VLOOKUP(Port_Optimization_001[[#This Row],[POD CODE]],POD!F:H,3,0),"")</f>
        <v>IV85J0mX0Segto%252FH4Zk5Tg%253D%253D</v>
      </c>
    </row>
    <row r="202" spans="1:9" x14ac:dyDescent="0.3">
      <c r="A202" s="1" t="s">
        <v>1483</v>
      </c>
      <c r="B202" s="1" t="s">
        <v>1447</v>
      </c>
      <c r="C202" s="1" t="str">
        <f t="shared" si="6"/>
        <v>CNSHA</v>
      </c>
      <c r="D202" s="1" t="str">
        <f t="shared" si="7"/>
        <v>ESVLC</v>
      </c>
      <c r="E20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https://www.weiyun001.com/routePort?st=lF23NVeEnJTbYGRyP11WaA%253D%253D&amp;de=PUkWEcWweA49bc%252BQ%252FHA6bw%253D%253D&amp;rg=lF23NVeEnJTbYGRyP11WaA%253D%253D&amp;rt=3U623zVBsOeXBLWrfPFQPg%253D%253D</v>
      </c>
      <c r="F202" s="1" t="str">
        <f>VLOOKUP(Port_Optimization_001[[#This Row],[POL CODE]],POL!F:H,2,0)</f>
        <v>lF23NVeEnJTbYGRyP11WaA%253D%253D</v>
      </c>
      <c r="G202" s="1" t="str">
        <f>_xlfn.IFNA(VLOOKUP(Port_Optimization_001[[#This Row],[POD CODE]],POD!F:H,2,0),"")</f>
        <v>PUkWEcWweA49bc%252BQ%252FHA6bw%253D%253D</v>
      </c>
      <c r="H202" s="1" t="str">
        <f>VLOOKUP(Port_Optimization_001[[#This Row],[POL CODE]],POL!F:H,3,0)</f>
        <v>lF23NVeEnJTbYGRyP11WaA%253D%253D</v>
      </c>
      <c r="I202" s="1" t="str">
        <f>_xlfn.IFNA(VLOOKUP(Port_Optimization_001[[#This Row],[POD CODE]],POD!F:H,3,0),"")</f>
        <v>3U623zVBsOeXBLWrfPFQPg%253D%253D</v>
      </c>
    </row>
    <row r="203" spans="1:9" x14ac:dyDescent="0.3">
      <c r="A203" s="1" t="s">
        <v>1483</v>
      </c>
      <c r="B203" s="1" t="s">
        <v>1448</v>
      </c>
      <c r="C203" s="1" t="str">
        <f t="shared" si="6"/>
        <v>CNSHA</v>
      </c>
      <c r="D203" s="1" t="str">
        <f t="shared" si="7"/>
        <v>SIKOP</v>
      </c>
      <c r="E20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https://www.weiyun001.com/routePort?st=lF23NVeEnJTbYGRyP11WaA%253D%253D&amp;de=ze98pM2WES%252B2CvfdjKQc3g%253D%253D&amp;rg=lF23NVeEnJTbYGRyP11WaA%253D%253D&amp;rt=%252B0OYVDebDGU4ZUDCUVe4uQ%253D%253D</v>
      </c>
      <c r="F203" s="1" t="str">
        <f>VLOOKUP(Port_Optimization_001[[#This Row],[POL CODE]],POL!F:H,2,0)</f>
        <v>lF23NVeEnJTbYGRyP11WaA%253D%253D</v>
      </c>
      <c r="G203" s="1" t="str">
        <f>_xlfn.IFNA(VLOOKUP(Port_Optimization_001[[#This Row],[POD CODE]],POD!F:H,2,0),"")</f>
        <v>ze98pM2WES%252B2CvfdjKQc3g%253D%253D</v>
      </c>
      <c r="H203" s="1" t="str">
        <f>VLOOKUP(Port_Optimization_001[[#This Row],[POL CODE]],POL!F:H,3,0)</f>
        <v>lF23NVeEnJTbYGRyP11WaA%253D%253D</v>
      </c>
      <c r="I203" s="1" t="str">
        <f>_xlfn.IFNA(VLOOKUP(Port_Optimization_001[[#This Row],[POD CODE]],POD!F:H,3,0),"")</f>
        <v>%252B0OYVDebDGU4ZUDCUVe4uQ%253D%253D</v>
      </c>
    </row>
    <row r="204" spans="1:9" x14ac:dyDescent="0.3">
      <c r="A204" s="1" t="s">
        <v>1483</v>
      </c>
      <c r="B204" s="1" t="s">
        <v>1401</v>
      </c>
      <c r="C204" s="1" t="str">
        <f t="shared" si="6"/>
        <v>CNSHA</v>
      </c>
      <c r="D204" s="1" t="str">
        <f t="shared" si="7"/>
        <v>TRIST</v>
      </c>
      <c r="E20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https://www.weiyun001.com/routePort?st=lF23NVeEnJTbYGRyP11WaA%253D%253D&amp;de=CWZLcxB%252BS05YPBCXZF1ZGg%253D%253D&amp;rg=lF23NVeEnJTbYGRyP11WaA%253D%253D&amp;rt=OWZDyLmv3WGtVP7oMbti8g%253D%253D</v>
      </c>
      <c r="F204" s="1" t="str">
        <f>VLOOKUP(Port_Optimization_001[[#This Row],[POL CODE]],POL!F:H,2,0)</f>
        <v>lF23NVeEnJTbYGRyP11WaA%253D%253D</v>
      </c>
      <c r="G204" s="1" t="str">
        <f>_xlfn.IFNA(VLOOKUP(Port_Optimization_001[[#This Row],[POD CODE]],POD!F:H,2,0),"")</f>
        <v>CWZLcxB%252BS05YPBCXZF1ZGg%253D%253D</v>
      </c>
      <c r="H204" s="1" t="str">
        <f>VLOOKUP(Port_Optimization_001[[#This Row],[POL CODE]],POL!F:H,3,0)</f>
        <v>lF23NVeEnJTbYGRyP11WaA%253D%253D</v>
      </c>
      <c r="I204" s="1" t="str">
        <f>_xlfn.IFNA(VLOOKUP(Port_Optimization_001[[#This Row],[POD CODE]],POD!F:H,3,0),"")</f>
        <v>OWZDyLmv3WGtVP7oMbti8g%253D%253D</v>
      </c>
    </row>
    <row r="205" spans="1:9" x14ac:dyDescent="0.3">
      <c r="A205" s="1" t="s">
        <v>1483</v>
      </c>
      <c r="B205" s="1" t="s">
        <v>1449</v>
      </c>
      <c r="C205" s="1" t="str">
        <f t="shared" si="6"/>
        <v>CNSHA</v>
      </c>
      <c r="D205" s="1" t="str">
        <f t="shared" si="7"/>
        <v>RUNVS</v>
      </c>
      <c r="E20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https://www.weiyun001.com/routePort?st=lF23NVeEnJTbYGRyP11WaA%253D%253D&amp;de=MmR%252BVr7P8VwdE9cXHcRoVA%253D%253D&amp;rg=lF23NVeEnJTbYGRyP11WaA%253D%253D&amp;rt=r8vdJELtQ6mqgPEUMkhs6w%253D%253D</v>
      </c>
      <c r="F205" s="1" t="str">
        <f>VLOOKUP(Port_Optimization_001[[#This Row],[POL CODE]],POL!F:H,2,0)</f>
        <v>lF23NVeEnJTbYGRyP11WaA%253D%253D</v>
      </c>
      <c r="G205" s="1" t="str">
        <f>_xlfn.IFNA(VLOOKUP(Port_Optimization_001[[#This Row],[POD CODE]],POD!F:H,2,0),"")</f>
        <v>MmR%252BVr7P8VwdE9cXHcRoVA%253D%253D</v>
      </c>
      <c r="H205" s="1" t="str">
        <f>VLOOKUP(Port_Optimization_001[[#This Row],[POL CODE]],POL!F:H,3,0)</f>
        <v>lF23NVeEnJTbYGRyP11WaA%253D%253D</v>
      </c>
      <c r="I205" s="1" t="str">
        <f>_xlfn.IFNA(VLOOKUP(Port_Optimization_001[[#This Row],[POD CODE]],POD!F:H,3,0),"")</f>
        <v>r8vdJELtQ6mqgPEUMkhs6w%253D%253D</v>
      </c>
    </row>
    <row r="206" spans="1:9" x14ac:dyDescent="0.3">
      <c r="A206" s="1" t="s">
        <v>1483</v>
      </c>
      <c r="B206" s="1" t="s">
        <v>1402</v>
      </c>
      <c r="C206" s="1" t="str">
        <f t="shared" si="6"/>
        <v>CNSHA</v>
      </c>
      <c r="D206" s="1" t="str">
        <f t="shared" si="7"/>
        <v>INNSA</v>
      </c>
      <c r="E20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https://www.weiyun001.com/routePort?st=lF23NVeEnJTbYGRyP11WaA%253D%253D&amp;de=jD0OvY0B6WYFRxQO7kBFtg%253D%253D&amp;rg=lF23NVeEnJTbYGRyP11WaA%253D%253D&amp;rt=ZY9R0ulrUtfklWEEetRGPg%253D%253D</v>
      </c>
      <c r="F206" s="1" t="str">
        <f>VLOOKUP(Port_Optimization_001[[#This Row],[POL CODE]],POL!F:H,2,0)</f>
        <v>lF23NVeEnJTbYGRyP11WaA%253D%253D</v>
      </c>
      <c r="G206" s="1" t="str">
        <f>_xlfn.IFNA(VLOOKUP(Port_Optimization_001[[#This Row],[POD CODE]],POD!F:H,2,0),"")</f>
        <v>jD0OvY0B6WYFRxQO7kBFtg%253D%253D</v>
      </c>
      <c r="H206" s="1" t="str">
        <f>VLOOKUP(Port_Optimization_001[[#This Row],[POL CODE]],POL!F:H,3,0)</f>
        <v>lF23NVeEnJTbYGRyP11WaA%253D%253D</v>
      </c>
      <c r="I206" s="1" t="str">
        <f>_xlfn.IFNA(VLOOKUP(Port_Optimization_001[[#This Row],[POD CODE]],POD!F:H,3,0),"")</f>
        <v>ZY9R0ulrUtfklWEEetRGPg%253D%253D</v>
      </c>
    </row>
    <row r="207" spans="1:9" x14ac:dyDescent="0.3">
      <c r="A207" s="1" t="s">
        <v>1483</v>
      </c>
      <c r="B207" s="1" t="s">
        <v>1450</v>
      </c>
      <c r="C207" s="1" t="str">
        <f t="shared" si="6"/>
        <v>CNSHA</v>
      </c>
      <c r="D207" s="1" t="str">
        <f t="shared" si="7"/>
        <v>INMAA</v>
      </c>
      <c r="E20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https://www.weiyun001.com/routePort?st=lF23NVeEnJTbYGRyP11WaA%253D%253D&amp;de=vO8vVJPTiBKbz9UAlx1vNQ%253D%253D&amp;rg=lF23NVeEnJTbYGRyP11WaA%253D%253D&amp;rt=ZY9R0ulrUtfklWEEetRGPg%253D%253D</v>
      </c>
      <c r="F207" s="1" t="str">
        <f>VLOOKUP(Port_Optimization_001[[#This Row],[POL CODE]],POL!F:H,2,0)</f>
        <v>lF23NVeEnJTbYGRyP11WaA%253D%253D</v>
      </c>
      <c r="G207" s="1" t="str">
        <f>_xlfn.IFNA(VLOOKUP(Port_Optimization_001[[#This Row],[POD CODE]],POD!F:H,2,0),"")</f>
        <v>vO8vVJPTiBKbz9UAlx1vNQ%253D%253D</v>
      </c>
      <c r="H207" s="1" t="str">
        <f>VLOOKUP(Port_Optimization_001[[#This Row],[POL CODE]],POL!F:H,3,0)</f>
        <v>lF23NVeEnJTbYGRyP11WaA%253D%253D</v>
      </c>
      <c r="I207" s="1" t="str">
        <f>_xlfn.IFNA(VLOOKUP(Port_Optimization_001[[#This Row],[POD CODE]],POD!F:H,3,0),"")</f>
        <v>ZY9R0ulrUtfklWEEetRGPg%253D%253D</v>
      </c>
    </row>
    <row r="208" spans="1:9" x14ac:dyDescent="0.3">
      <c r="A208" s="1" t="s">
        <v>1483</v>
      </c>
      <c r="B208" s="1" t="s">
        <v>1451</v>
      </c>
      <c r="C208" s="1" t="str">
        <f t="shared" si="6"/>
        <v>CNSHA</v>
      </c>
      <c r="D208" s="1" t="str">
        <f t="shared" si="7"/>
        <v>INMUN</v>
      </c>
      <c r="E20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https://www.weiyun001.com/routePort?st=lF23NVeEnJTbYGRyP11WaA%253D%253D&amp;de=%252BB9fmSKB17T0hrJwRG24Sg%253D%253D&amp;rg=lF23NVeEnJTbYGRyP11WaA%253D%253D&amp;rt=ZY9R0ulrUtfklWEEetRGPg%253D%253D</v>
      </c>
      <c r="F208" s="1" t="str">
        <f>VLOOKUP(Port_Optimization_001[[#This Row],[POL CODE]],POL!F:H,2,0)</f>
        <v>lF23NVeEnJTbYGRyP11WaA%253D%253D</v>
      </c>
      <c r="G208" s="1" t="str">
        <f>_xlfn.IFNA(VLOOKUP(Port_Optimization_001[[#This Row],[POD CODE]],POD!F:H,2,0),"")</f>
        <v>%252BB9fmSKB17T0hrJwRG24Sg%253D%253D</v>
      </c>
      <c r="H208" s="1" t="str">
        <f>VLOOKUP(Port_Optimization_001[[#This Row],[POL CODE]],POL!F:H,3,0)</f>
        <v>lF23NVeEnJTbYGRyP11WaA%253D%253D</v>
      </c>
      <c r="I208" s="1" t="str">
        <f>_xlfn.IFNA(VLOOKUP(Port_Optimization_001[[#This Row],[POD CODE]],POD!F:H,3,0),"")</f>
        <v>ZY9R0ulrUtfklWEEetRGPg%253D%253D</v>
      </c>
    </row>
    <row r="209" spans="1:9" x14ac:dyDescent="0.3">
      <c r="A209" s="1" t="s">
        <v>1483</v>
      </c>
      <c r="B209" s="1" t="s">
        <v>1452</v>
      </c>
      <c r="C209" s="1" t="str">
        <f t="shared" si="6"/>
        <v>CNSHA</v>
      </c>
      <c r="D209" s="1" t="str">
        <f t="shared" si="7"/>
        <v>PKKHI</v>
      </c>
      <c r="E20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https://www.weiyun001.com/routePort?st=lF23NVeEnJTbYGRyP11WaA%253D%253D&amp;de=3ez67yisC8fnVI5KVlpklg%253D%253D&amp;rg=lF23NVeEnJTbYGRyP11WaA%253D%253D&amp;rt=ZY9R0ulrUtfklWEEetRGPg%253D%253D</v>
      </c>
      <c r="F209" s="1" t="str">
        <f>VLOOKUP(Port_Optimization_001[[#This Row],[POL CODE]],POL!F:H,2,0)</f>
        <v>lF23NVeEnJTbYGRyP11WaA%253D%253D</v>
      </c>
      <c r="G209" s="1" t="str">
        <f>_xlfn.IFNA(VLOOKUP(Port_Optimization_001[[#This Row],[POD CODE]],POD!F:H,2,0),"")</f>
        <v>3ez67yisC8fnVI5KVlpklg%253D%253D</v>
      </c>
      <c r="H209" s="1" t="str">
        <f>VLOOKUP(Port_Optimization_001[[#This Row],[POL CODE]],POL!F:H,3,0)</f>
        <v>lF23NVeEnJTbYGRyP11WaA%253D%253D</v>
      </c>
      <c r="I209" s="1" t="str">
        <f>_xlfn.IFNA(VLOOKUP(Port_Optimization_001[[#This Row],[POD CODE]],POD!F:H,3,0),"")</f>
        <v>ZY9R0ulrUtfklWEEetRGPg%253D%253D</v>
      </c>
    </row>
    <row r="210" spans="1:9" x14ac:dyDescent="0.3">
      <c r="A210" s="1" t="s">
        <v>1483</v>
      </c>
      <c r="B210" s="1" t="s">
        <v>1453</v>
      </c>
      <c r="C210" s="1" t="str">
        <f t="shared" si="6"/>
        <v>CNSHA</v>
      </c>
      <c r="D210" s="1" t="str">
        <f t="shared" si="7"/>
        <v>INKAT</v>
      </c>
      <c r="E21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https://www.weiyun001.com/routePort?st=lF23NVeEnJTbYGRyP11WaA%253D%253D&amp;de=fcBLhIhFlg0egkwgbVqfuA%253D%253D&amp;rg=lF23NVeEnJTbYGRyP11WaA%253D%253D&amp;rt=ZY9R0ulrUtfklWEEetRGPg%253D%253D</v>
      </c>
      <c r="F210" s="1" t="str">
        <f>VLOOKUP(Port_Optimization_001[[#This Row],[POL CODE]],POL!F:H,2,0)</f>
        <v>lF23NVeEnJTbYGRyP11WaA%253D%253D</v>
      </c>
      <c r="G210" s="1" t="str">
        <f>_xlfn.IFNA(VLOOKUP(Port_Optimization_001[[#This Row],[POD CODE]],POD!F:H,2,0),"")</f>
        <v>fcBLhIhFlg0egkwgbVqfuA%253D%253D</v>
      </c>
      <c r="H210" s="1" t="str">
        <f>VLOOKUP(Port_Optimization_001[[#This Row],[POL CODE]],POL!F:H,3,0)</f>
        <v>lF23NVeEnJTbYGRyP11WaA%253D%253D</v>
      </c>
      <c r="I210" s="1" t="str">
        <f>_xlfn.IFNA(VLOOKUP(Port_Optimization_001[[#This Row],[POD CODE]],POD!F:H,3,0),"")</f>
        <v>ZY9R0ulrUtfklWEEetRGPg%253D%253D</v>
      </c>
    </row>
    <row r="211" spans="1:9" x14ac:dyDescent="0.3">
      <c r="A211" s="1" t="s">
        <v>1483</v>
      </c>
      <c r="B211" s="1" t="s">
        <v>1454</v>
      </c>
      <c r="C211" s="1" t="str">
        <f t="shared" si="6"/>
        <v>CNSHA</v>
      </c>
      <c r="D211" s="1" t="str">
        <f t="shared" si="7"/>
        <v>LKCMB</v>
      </c>
      <c r="E21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https://www.weiyun001.com/routePort?st=lF23NVeEnJTbYGRyP11WaA%253D%253D&amp;de=q8WDyyHdjjx8XNBkkJqSWA%253D%253D&amp;rg=lF23NVeEnJTbYGRyP11WaA%253D%253D&amp;rt=ZY9R0ulrUtfklWEEetRGPg%253D%253D</v>
      </c>
      <c r="F211" s="1" t="str">
        <f>VLOOKUP(Port_Optimization_001[[#This Row],[POL CODE]],POL!F:H,2,0)</f>
        <v>lF23NVeEnJTbYGRyP11WaA%253D%253D</v>
      </c>
      <c r="G211" s="1" t="str">
        <f>_xlfn.IFNA(VLOOKUP(Port_Optimization_001[[#This Row],[POD CODE]],POD!F:H,2,0),"")</f>
        <v>q8WDyyHdjjx8XNBkkJqSWA%253D%253D</v>
      </c>
      <c r="H211" s="1" t="str">
        <f>VLOOKUP(Port_Optimization_001[[#This Row],[POL CODE]],POL!F:H,3,0)</f>
        <v>lF23NVeEnJTbYGRyP11WaA%253D%253D</v>
      </c>
      <c r="I211" s="1" t="str">
        <f>_xlfn.IFNA(VLOOKUP(Port_Optimization_001[[#This Row],[POD CODE]],POD!F:H,3,0),"")</f>
        <v>ZY9R0ulrUtfklWEEetRGPg%253D%253D</v>
      </c>
    </row>
    <row r="212" spans="1:9" x14ac:dyDescent="0.3">
      <c r="A212" s="1" t="s">
        <v>1483</v>
      </c>
      <c r="B212" s="1" t="s">
        <v>1403</v>
      </c>
      <c r="C212" s="1" t="str">
        <f t="shared" si="6"/>
        <v>CNSHA</v>
      </c>
      <c r="D212" s="1" t="str">
        <f t="shared" si="7"/>
        <v>AEJEA</v>
      </c>
      <c r="E21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https://www.weiyun001.com/routePort?st=lF23NVeEnJTbYGRyP11WaA%253D%253D&amp;de=SbjTwb99PCeDQHDeZwEvvA%253D%253D&amp;rg=lF23NVeEnJTbYGRyP11WaA%253D%253D&amp;rt=nIJ3Uyv%252Bm7qB2PS5QvkN1A%253D%253D</v>
      </c>
      <c r="F212" s="1" t="str">
        <f>VLOOKUP(Port_Optimization_001[[#This Row],[POL CODE]],POL!F:H,2,0)</f>
        <v>lF23NVeEnJTbYGRyP11WaA%253D%253D</v>
      </c>
      <c r="G212" s="1" t="str">
        <f>_xlfn.IFNA(VLOOKUP(Port_Optimization_001[[#This Row],[POD CODE]],POD!F:H,2,0),"")</f>
        <v>SbjTwb99PCeDQHDeZwEvvA%253D%253D</v>
      </c>
      <c r="H212" s="1" t="str">
        <f>VLOOKUP(Port_Optimization_001[[#This Row],[POL CODE]],POL!F:H,3,0)</f>
        <v>lF23NVeEnJTbYGRyP11WaA%253D%253D</v>
      </c>
      <c r="I212" s="1" t="str">
        <f>_xlfn.IFNA(VLOOKUP(Port_Optimization_001[[#This Row],[POD CODE]],POD!F:H,3,0),"")</f>
        <v>nIJ3Uyv%252Bm7qB2PS5QvkN1A%253D%253D</v>
      </c>
    </row>
    <row r="213" spans="1:9" x14ac:dyDescent="0.3">
      <c r="A213" s="1" t="s">
        <v>1483</v>
      </c>
      <c r="B213" s="1" t="s">
        <v>1455</v>
      </c>
      <c r="C213" s="1" t="str">
        <f t="shared" si="6"/>
        <v>CNSHA</v>
      </c>
      <c r="D213" s="1" t="str">
        <f t="shared" si="7"/>
        <v>SADMM</v>
      </c>
      <c r="E21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https://www.weiyun001.com/routePort?st=lF23NVeEnJTbYGRyP11WaA%253D%253D&amp;de=avCPiTfdl2v%252BuDHEPYQkLw%253D%253D&amp;rg=lF23NVeEnJTbYGRyP11WaA%253D%253D&amp;rt=nIJ3Uyv%252Bm7qB2PS5QvkN1A%253D%253D</v>
      </c>
      <c r="F213" s="1" t="str">
        <f>VLOOKUP(Port_Optimization_001[[#This Row],[POL CODE]],POL!F:H,2,0)</f>
        <v>lF23NVeEnJTbYGRyP11WaA%253D%253D</v>
      </c>
      <c r="G213" s="1" t="str">
        <f>_xlfn.IFNA(VLOOKUP(Port_Optimization_001[[#This Row],[POD CODE]],POD!F:H,2,0),"")</f>
        <v>avCPiTfdl2v%252BuDHEPYQkLw%253D%253D</v>
      </c>
      <c r="H213" s="1" t="str">
        <f>VLOOKUP(Port_Optimization_001[[#This Row],[POL CODE]],POL!F:H,3,0)</f>
        <v>lF23NVeEnJTbYGRyP11WaA%253D%253D</v>
      </c>
      <c r="I213" s="1" t="str">
        <f>_xlfn.IFNA(VLOOKUP(Port_Optimization_001[[#This Row],[POD CODE]],POD!F:H,3,0),"")</f>
        <v>nIJ3Uyv%252Bm7qB2PS5QvkN1A%253D%253D</v>
      </c>
    </row>
    <row r="214" spans="1:9" x14ac:dyDescent="0.3">
      <c r="A214" s="1" t="s">
        <v>1483</v>
      </c>
      <c r="B214" s="1" t="s">
        <v>1456</v>
      </c>
      <c r="C214" s="1" t="str">
        <f t="shared" si="6"/>
        <v>CNSHA</v>
      </c>
      <c r="D214" s="1" t="str">
        <f t="shared" si="7"/>
        <v>SAJED</v>
      </c>
      <c r="E21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https://www.weiyun001.com/routePort?st=lF23NVeEnJTbYGRyP11WaA%253D%253D&amp;de=A8b%252BKvd%252FrH3knmwPYJlW9A%253D%253D&amp;rg=lF23NVeEnJTbYGRyP11WaA%253D%253D&amp;rt=B8CCxPgTyTKHS6UWEi7E0Q%253D%253D</v>
      </c>
      <c r="F214" s="1" t="str">
        <f>VLOOKUP(Port_Optimization_001[[#This Row],[POL CODE]],POL!F:H,2,0)</f>
        <v>lF23NVeEnJTbYGRyP11WaA%253D%253D</v>
      </c>
      <c r="G214" s="1" t="str">
        <f>_xlfn.IFNA(VLOOKUP(Port_Optimization_001[[#This Row],[POD CODE]],POD!F:H,2,0),"")</f>
        <v>A8b%252BKvd%252FrH3knmwPYJlW9A%253D%253D</v>
      </c>
      <c r="H214" s="1" t="str">
        <f>VLOOKUP(Port_Optimization_001[[#This Row],[POL CODE]],POL!F:H,3,0)</f>
        <v>lF23NVeEnJTbYGRyP11WaA%253D%253D</v>
      </c>
      <c r="I214" s="1" t="str">
        <f>_xlfn.IFNA(VLOOKUP(Port_Optimization_001[[#This Row],[POD CODE]],POD!F:H,3,0),"")</f>
        <v>B8CCxPgTyTKHS6UWEi7E0Q%253D%253D</v>
      </c>
    </row>
    <row r="215" spans="1:9" x14ac:dyDescent="0.3">
      <c r="A215" s="1" t="s">
        <v>1483</v>
      </c>
      <c r="B215" s="1" t="s">
        <v>1457</v>
      </c>
      <c r="C215" s="1" t="str">
        <f t="shared" si="6"/>
        <v>CNSHA</v>
      </c>
      <c r="D215" s="1" t="str">
        <f t="shared" si="7"/>
        <v>KEMBA</v>
      </c>
      <c r="E21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https://www.weiyun001.com/routePort?st=lF23NVeEnJTbYGRyP11WaA%253D%253D&amp;de=Ox%252BalV3lY9wwJSuwc0t6mA%253D%253D&amp;rg=lF23NVeEnJTbYGRyP11WaA%253D%253D&amp;rt=Y6Ds6Vz9%252B77grs71XHIolA%253D%253D</v>
      </c>
      <c r="F215" s="1" t="str">
        <f>VLOOKUP(Port_Optimization_001[[#This Row],[POL CODE]],POL!F:H,2,0)</f>
        <v>lF23NVeEnJTbYGRyP11WaA%253D%253D</v>
      </c>
      <c r="G215" s="1" t="str">
        <f>_xlfn.IFNA(VLOOKUP(Port_Optimization_001[[#This Row],[POD CODE]],POD!F:H,2,0),"")</f>
        <v>Ox%252BalV3lY9wwJSuwc0t6mA%253D%253D</v>
      </c>
      <c r="H215" s="1" t="str">
        <f>VLOOKUP(Port_Optimization_001[[#This Row],[POL CODE]],POL!F:H,3,0)</f>
        <v>lF23NVeEnJTbYGRyP11WaA%253D%253D</v>
      </c>
      <c r="I215" s="1" t="str">
        <f>_xlfn.IFNA(VLOOKUP(Port_Optimization_001[[#This Row],[POD CODE]],POD!F:H,3,0),"")</f>
        <v>Y6Ds6Vz9%252B77grs71XHIolA%253D%253D</v>
      </c>
    </row>
    <row r="216" spans="1:9" x14ac:dyDescent="0.3">
      <c r="A216" s="1" t="s">
        <v>1483</v>
      </c>
      <c r="B216" s="1" t="s">
        <v>1484</v>
      </c>
      <c r="C216" s="1" t="str">
        <f t="shared" si="6"/>
        <v>CNSHA</v>
      </c>
      <c r="D216" s="1" t="str">
        <f t="shared" si="7"/>
        <v>MUPLU</v>
      </c>
      <c r="E21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https://www.weiyun001.com/routePort?st=lF23NVeEnJTbYGRyP11WaA%253D%253D&amp;de=6BjndjiYHSKBwyfCW%252FcfbA%253D%253D&amp;rg=lF23NVeEnJTbYGRyP11WaA%253D%253D&amp;rt=Y6Ds6Vz9%252B77grs71XHIolA%253D%253D</v>
      </c>
      <c r="F216" s="1" t="str">
        <f>VLOOKUP(Port_Optimization_001[[#This Row],[POL CODE]],POL!F:H,2,0)</f>
        <v>lF23NVeEnJTbYGRyP11WaA%253D%253D</v>
      </c>
      <c r="G216" s="1" t="str">
        <f>_xlfn.IFNA(VLOOKUP(Port_Optimization_001[[#This Row],[POD CODE]],POD!F:H,2,0),"")</f>
        <v>6BjndjiYHSKBwyfCW%252FcfbA%253D%253D</v>
      </c>
      <c r="H216" s="1" t="str">
        <f>VLOOKUP(Port_Optimization_001[[#This Row],[POL CODE]],POL!F:H,3,0)</f>
        <v>lF23NVeEnJTbYGRyP11WaA%253D%253D</v>
      </c>
      <c r="I216" s="1" t="str">
        <f>_xlfn.IFNA(VLOOKUP(Port_Optimization_001[[#This Row],[POD CODE]],POD!F:H,3,0),"")</f>
        <v>Y6Ds6Vz9%252B77grs71XHIolA%253D%253D</v>
      </c>
    </row>
    <row r="217" spans="1:9" x14ac:dyDescent="0.3">
      <c r="A217" s="1" t="s">
        <v>1483</v>
      </c>
      <c r="B217" s="1" t="s">
        <v>1459</v>
      </c>
      <c r="C217" s="1" t="str">
        <f t="shared" si="6"/>
        <v>CNSHA</v>
      </c>
      <c r="D217" s="1" t="str">
        <f t="shared" si="7"/>
        <v>TZDAR</v>
      </c>
      <c r="E21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https://www.weiyun001.com/routePort?st=lF23NVeEnJTbYGRyP11WaA%253D%253D&amp;de=ukOtZfiDRcbPsGuECivTcg%253D%253D&amp;rg=lF23NVeEnJTbYGRyP11WaA%253D%253D&amp;rt=Y6Ds6Vz9%252B77grs71XHIolA%253D%253D</v>
      </c>
      <c r="F217" s="1" t="str">
        <f>VLOOKUP(Port_Optimization_001[[#This Row],[POL CODE]],POL!F:H,2,0)</f>
        <v>lF23NVeEnJTbYGRyP11WaA%253D%253D</v>
      </c>
      <c r="G217" s="1" t="str">
        <f>_xlfn.IFNA(VLOOKUP(Port_Optimization_001[[#This Row],[POD CODE]],POD!F:H,2,0),"")</f>
        <v>ukOtZfiDRcbPsGuECivTcg%253D%253D</v>
      </c>
      <c r="H217" s="1" t="str">
        <f>VLOOKUP(Port_Optimization_001[[#This Row],[POL CODE]],POL!F:H,3,0)</f>
        <v>lF23NVeEnJTbYGRyP11WaA%253D%253D</v>
      </c>
      <c r="I217" s="1" t="str">
        <f>_xlfn.IFNA(VLOOKUP(Port_Optimization_001[[#This Row],[POD CODE]],POD!F:H,3,0),"")</f>
        <v>Y6Ds6Vz9%252B77grs71XHIolA%253D%253D</v>
      </c>
    </row>
    <row r="218" spans="1:9" x14ac:dyDescent="0.3">
      <c r="A218" s="1" t="s">
        <v>1483</v>
      </c>
      <c r="B218" s="1" t="s">
        <v>1458</v>
      </c>
      <c r="C218" s="1" t="str">
        <f t="shared" si="6"/>
        <v>CNSHA</v>
      </c>
      <c r="D218" s="1" t="str">
        <f t="shared" si="7"/>
        <v>ZADUR</v>
      </c>
      <c r="E21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https://www.weiyun001.com/routePort?st=lF23NVeEnJTbYGRyP11WaA%253D%253D&amp;de=u95MZzsr9eG2WvFJUQj%252Ffw%253D%253D&amp;rg=lF23NVeEnJTbYGRyP11WaA%253D%253D&amp;rt=lvNGjfh1u3F8DS5kPLxDEQ%253D%253D</v>
      </c>
      <c r="F218" s="1" t="str">
        <f>VLOOKUP(Port_Optimization_001[[#This Row],[POL CODE]],POL!F:H,2,0)</f>
        <v>lF23NVeEnJTbYGRyP11WaA%253D%253D</v>
      </c>
      <c r="G218" s="1" t="str">
        <f>_xlfn.IFNA(VLOOKUP(Port_Optimization_001[[#This Row],[POD CODE]],POD!F:H,2,0),"")</f>
        <v>u95MZzsr9eG2WvFJUQj%252Ffw%253D%253D</v>
      </c>
      <c r="H218" s="1" t="str">
        <f>VLOOKUP(Port_Optimization_001[[#This Row],[POL CODE]],POL!F:H,3,0)</f>
        <v>lF23NVeEnJTbYGRyP11WaA%253D%253D</v>
      </c>
      <c r="I218" s="1" t="str">
        <f>_xlfn.IFNA(VLOOKUP(Port_Optimization_001[[#This Row],[POD CODE]],POD!F:H,3,0),"")</f>
        <v>lvNGjfh1u3F8DS5kPLxDEQ%253D%253D</v>
      </c>
    </row>
    <row r="219" spans="1:9" x14ac:dyDescent="0.3">
      <c r="A219" s="1" t="s">
        <v>1483</v>
      </c>
      <c r="B219" s="1" t="s">
        <v>1461</v>
      </c>
      <c r="C219" s="1" t="str">
        <f t="shared" si="6"/>
        <v>CNSHA</v>
      </c>
      <c r="D219" s="1" t="str">
        <f t="shared" si="7"/>
        <v>GHTEM</v>
      </c>
      <c r="E21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https://www.weiyun001.com/routePort?st=lF23NVeEnJTbYGRyP11WaA%253D%253D&amp;de=kB%252BdZmqU8TS1XETJO7LmbQ%253D%253D&amp;rg=lF23NVeEnJTbYGRyP11WaA%253D%253D&amp;rt=d4cKFtsNQdHrm3NULzwm1w%253D%253D</v>
      </c>
      <c r="F219" s="1" t="str">
        <f>VLOOKUP(Port_Optimization_001[[#This Row],[POL CODE]],POL!F:H,2,0)</f>
        <v>lF23NVeEnJTbYGRyP11WaA%253D%253D</v>
      </c>
      <c r="G219" s="1" t="str">
        <f>_xlfn.IFNA(VLOOKUP(Port_Optimization_001[[#This Row],[POD CODE]],POD!F:H,2,0),"")</f>
        <v>kB%252BdZmqU8TS1XETJO7LmbQ%253D%253D</v>
      </c>
      <c r="H219" s="1" t="str">
        <f>VLOOKUP(Port_Optimization_001[[#This Row],[POL CODE]],POL!F:H,3,0)</f>
        <v>lF23NVeEnJTbYGRyP11WaA%253D%253D</v>
      </c>
      <c r="I219" s="1" t="str">
        <f>_xlfn.IFNA(VLOOKUP(Port_Optimization_001[[#This Row],[POD CODE]],POD!F:H,3,0),"")</f>
        <v>d4cKFtsNQdHrm3NULzwm1w%253D%253D</v>
      </c>
    </row>
    <row r="220" spans="1:9" x14ac:dyDescent="0.3">
      <c r="A220" s="1" t="s">
        <v>1483</v>
      </c>
      <c r="B220" s="1" t="s">
        <v>1460</v>
      </c>
      <c r="C220" s="1" t="str">
        <f t="shared" si="6"/>
        <v>CNSHA</v>
      </c>
      <c r="D220" s="1" t="str">
        <f t="shared" si="7"/>
        <v>CGPNR</v>
      </c>
      <c r="E22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https://www.weiyun001.com/routePort?st=lF23NVeEnJTbYGRyP11WaA%253D%253D&amp;de=gMaWZtMygUlEwJuqZRv9Rw%253D%253D&amp;rg=lF23NVeEnJTbYGRyP11WaA%253D%253D&amp;rt=d4cKFtsNQdHrm3NULzwm1w%253D%253D</v>
      </c>
      <c r="F220" s="1" t="str">
        <f>VLOOKUP(Port_Optimization_001[[#This Row],[POL CODE]],POL!F:H,2,0)</f>
        <v>lF23NVeEnJTbYGRyP11WaA%253D%253D</v>
      </c>
      <c r="G220" s="1" t="str">
        <f>_xlfn.IFNA(VLOOKUP(Port_Optimization_001[[#This Row],[POD CODE]],POD!F:H,2,0),"")</f>
        <v>gMaWZtMygUlEwJuqZRv9Rw%253D%253D</v>
      </c>
      <c r="H220" s="1" t="str">
        <f>VLOOKUP(Port_Optimization_001[[#This Row],[POL CODE]],POL!F:H,3,0)</f>
        <v>lF23NVeEnJTbYGRyP11WaA%253D%253D</v>
      </c>
      <c r="I220" s="1" t="str">
        <f>_xlfn.IFNA(VLOOKUP(Port_Optimization_001[[#This Row],[POD CODE]],POD!F:H,3,0),"")</f>
        <v>d4cKFtsNQdHrm3NULzwm1w%253D%253D</v>
      </c>
    </row>
    <row r="221" spans="1:9" x14ac:dyDescent="0.3">
      <c r="A221" s="1" t="s">
        <v>1483</v>
      </c>
      <c r="B221" s="1" t="s">
        <v>1464</v>
      </c>
      <c r="C221" s="1" t="str">
        <f t="shared" si="6"/>
        <v>CNSHA</v>
      </c>
      <c r="D221" s="1" t="str">
        <f t="shared" si="7"/>
        <v>CLSAI</v>
      </c>
      <c r="E22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https://www.weiyun001.com/routePort?st=lF23NVeEnJTbYGRyP11WaA%253D%253D&amp;de=X8GcDe9OXacnotj9q6RhWg%253D%253D&amp;rg=lF23NVeEnJTbYGRyP11WaA%253D%253D&amp;rt=rSDolrCl4cQcOeyAyTf1zg%253D%253D</v>
      </c>
      <c r="F221" s="1" t="str">
        <f>VLOOKUP(Port_Optimization_001[[#This Row],[POL CODE]],POL!F:H,2,0)</f>
        <v>lF23NVeEnJTbYGRyP11WaA%253D%253D</v>
      </c>
      <c r="G221" s="1" t="str">
        <f>_xlfn.IFNA(VLOOKUP(Port_Optimization_001[[#This Row],[POD CODE]],POD!F:H,2,0),"")</f>
        <v>X8GcDe9OXacnotj9q6RhWg%253D%253D</v>
      </c>
      <c r="H221" s="1" t="str">
        <f>VLOOKUP(Port_Optimization_001[[#This Row],[POL CODE]],POL!F:H,3,0)</f>
        <v>lF23NVeEnJTbYGRyP11WaA%253D%253D</v>
      </c>
      <c r="I221" s="1" t="str">
        <f>_xlfn.IFNA(VLOOKUP(Port_Optimization_001[[#This Row],[POD CODE]],POD!F:H,3,0),"")</f>
        <v>rSDolrCl4cQcOeyAyTf1zg%253D%253D</v>
      </c>
    </row>
    <row r="222" spans="1:9" x14ac:dyDescent="0.3">
      <c r="A222" s="1" t="s">
        <v>1483</v>
      </c>
      <c r="B222" s="1" t="s">
        <v>1463</v>
      </c>
      <c r="C222" s="1" t="str">
        <f t="shared" si="6"/>
        <v>CNSHA</v>
      </c>
      <c r="D222" s="1" t="str">
        <f t="shared" si="7"/>
        <v>COBUN</v>
      </c>
      <c r="E22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https://www.weiyun001.com/routePort?st=lF23NVeEnJTbYGRyP11WaA%253D%253D&amp;de=w5DjD0wJyInHt9f5k%252BKAIg%253D%253D&amp;rg=lF23NVeEnJTbYGRyP11WaA%253D%253D&amp;rt=rSDolrCl4cQcOeyAyTf1zg%253D%253D</v>
      </c>
      <c r="F222" s="1" t="str">
        <f>VLOOKUP(Port_Optimization_001[[#This Row],[POL CODE]],POL!F:H,2,0)</f>
        <v>lF23NVeEnJTbYGRyP11WaA%253D%253D</v>
      </c>
      <c r="G222" s="1" t="str">
        <f>_xlfn.IFNA(VLOOKUP(Port_Optimization_001[[#This Row],[POD CODE]],POD!F:H,2,0),"")</f>
        <v>w5DjD0wJyInHt9f5k%252BKAIg%253D%253D</v>
      </c>
      <c r="H222" s="1" t="str">
        <f>VLOOKUP(Port_Optimization_001[[#This Row],[POL CODE]],POL!F:H,3,0)</f>
        <v>lF23NVeEnJTbYGRyP11WaA%253D%253D</v>
      </c>
      <c r="I222" s="1" t="str">
        <f>_xlfn.IFNA(VLOOKUP(Port_Optimization_001[[#This Row],[POD CODE]],POD!F:H,3,0),"")</f>
        <v>rSDolrCl4cQcOeyAyTf1zg%253D%253D</v>
      </c>
    </row>
    <row r="223" spans="1:9" x14ac:dyDescent="0.3">
      <c r="A223" s="1" t="s">
        <v>1483</v>
      </c>
      <c r="B223" s="1" t="s">
        <v>1465</v>
      </c>
      <c r="C223" s="1" t="str">
        <f t="shared" si="6"/>
        <v>CNSHA</v>
      </c>
      <c r="D223" s="1" t="str">
        <f t="shared" si="7"/>
        <v>BRSSZ</v>
      </c>
      <c r="E22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https://www.weiyun001.com/routePort?st=lF23NVeEnJTbYGRyP11WaA%253D%253D&amp;de=BdZ%252FtNPnUUWx6c7yvRrzUw%253D%253D&amp;rg=lF23NVeEnJTbYGRyP11WaA%253D%253D&amp;rt=x61UdCRqU8mCaDHdssLZSg%253D%253D</v>
      </c>
      <c r="F223" s="1" t="str">
        <f>VLOOKUP(Port_Optimization_001[[#This Row],[POL CODE]],POL!F:H,2,0)</f>
        <v>lF23NVeEnJTbYGRyP11WaA%253D%253D</v>
      </c>
      <c r="G223" s="1" t="str">
        <f>_xlfn.IFNA(VLOOKUP(Port_Optimization_001[[#This Row],[POD CODE]],POD!F:H,2,0),"")</f>
        <v>BdZ%252FtNPnUUWx6c7yvRrzUw%253D%253D</v>
      </c>
      <c r="H223" s="1" t="str">
        <f>VLOOKUP(Port_Optimization_001[[#This Row],[POL CODE]],POL!F:H,3,0)</f>
        <v>lF23NVeEnJTbYGRyP11WaA%253D%253D</v>
      </c>
      <c r="I223" s="1" t="str">
        <f>_xlfn.IFNA(VLOOKUP(Port_Optimization_001[[#This Row],[POD CODE]],POD!F:H,3,0),"")</f>
        <v>x61UdCRqU8mCaDHdssLZSg%253D%253D</v>
      </c>
    </row>
    <row r="224" spans="1:9" x14ac:dyDescent="0.3">
      <c r="A224" s="1" t="s">
        <v>1483</v>
      </c>
      <c r="B224" s="1" t="s">
        <v>1466</v>
      </c>
      <c r="C224" s="1" t="str">
        <f t="shared" si="6"/>
        <v>CNSHA</v>
      </c>
      <c r="D224" s="1" t="str">
        <f t="shared" si="7"/>
        <v>PABLB</v>
      </c>
      <c r="E22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https://www.weiyun001.com/routePort?st=lF23NVeEnJTbYGRyP11WaA%253D%253D&amp;de=tcS9Riy%252FOQ0F96F7MGSWlQ%253D%253D&amp;rg=lF23NVeEnJTbYGRyP11WaA%253D%253D&amp;rt=eAhwAhPCSEryNn434iy2MA%253D%253D</v>
      </c>
      <c r="F224" s="1" t="str">
        <f>VLOOKUP(Port_Optimization_001[[#This Row],[POL CODE]],POL!F:H,2,0)</f>
        <v>lF23NVeEnJTbYGRyP11WaA%253D%253D</v>
      </c>
      <c r="G224" s="1" t="str">
        <f>_xlfn.IFNA(VLOOKUP(Port_Optimization_001[[#This Row],[POD CODE]],POD!F:H,2,0),"")</f>
        <v>tcS9Riy%252FOQ0F96F7MGSWlQ%253D%253D</v>
      </c>
      <c r="H224" s="1" t="str">
        <f>VLOOKUP(Port_Optimization_001[[#This Row],[POL CODE]],POL!F:H,3,0)</f>
        <v>lF23NVeEnJTbYGRyP11WaA%253D%253D</v>
      </c>
      <c r="I224" s="1" t="str">
        <f>_xlfn.IFNA(VLOOKUP(Port_Optimization_001[[#This Row],[POD CODE]],POD!F:H,3,0),"")</f>
        <v>eAhwAhPCSEryNn434iy2MA%253D%253D</v>
      </c>
    </row>
    <row r="225" spans="1:9" x14ac:dyDescent="0.3">
      <c r="A225" s="1" t="s">
        <v>1483</v>
      </c>
      <c r="B225" s="1" t="s">
        <v>1467</v>
      </c>
      <c r="C225" s="1" t="str">
        <f t="shared" si="6"/>
        <v>CNSHA</v>
      </c>
      <c r="D225" s="1" t="str">
        <f t="shared" si="7"/>
        <v>AUBNE</v>
      </c>
      <c r="E22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https://www.weiyun001.com/routePort?st=lF23NVeEnJTbYGRyP11WaA%253D%253D&amp;de=PFEPD9phugL4OCypgVW00A%253D%253D&amp;rg=lF23NVeEnJTbYGRyP11WaA%253D%253D&amp;rt=o04TRiXb4TdXUQEl8c%252F4bQ%253D%253D</v>
      </c>
      <c r="F225" s="1" t="str">
        <f>VLOOKUP(Port_Optimization_001[[#This Row],[POL CODE]],POL!F:H,2,0)</f>
        <v>lF23NVeEnJTbYGRyP11WaA%253D%253D</v>
      </c>
      <c r="G225" s="1" t="str">
        <f>_xlfn.IFNA(VLOOKUP(Port_Optimization_001[[#This Row],[POD CODE]],POD!F:H,2,0),"")</f>
        <v>PFEPD9phugL4OCypgVW00A%253D%253D</v>
      </c>
      <c r="H225" s="1" t="str">
        <f>VLOOKUP(Port_Optimization_001[[#This Row],[POL CODE]],POL!F:H,3,0)</f>
        <v>lF23NVeEnJTbYGRyP11WaA%253D%253D</v>
      </c>
      <c r="I225" s="1" t="str">
        <f>_xlfn.IFNA(VLOOKUP(Port_Optimization_001[[#This Row],[POD CODE]],POD!F:H,3,0),"")</f>
        <v>o04TRiXb4TdXUQEl8c%252F4bQ%253D%253D</v>
      </c>
    </row>
    <row r="226" spans="1:9" x14ac:dyDescent="0.3">
      <c r="A226" s="1" t="s">
        <v>1483</v>
      </c>
      <c r="B226" s="1" t="s">
        <v>1485</v>
      </c>
      <c r="C226" s="1" t="str">
        <f t="shared" si="6"/>
        <v>CNSHA</v>
      </c>
      <c r="D226" s="1" t="str">
        <f t="shared" si="7"/>
        <v>AUTSV</v>
      </c>
      <c r="E22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https://www.weiyun001.com/routePort?st=lF23NVeEnJTbYGRyP11WaA%253D%253D&amp;de=jwrREb065TpboLLneEXnpA%253D%253D&amp;rg=lF23NVeEnJTbYGRyP11WaA%253D%253D&amp;rt=o04TRiXb4TdXUQEl8c%252F4bQ%253D%253D</v>
      </c>
      <c r="F226" s="1" t="str">
        <f>VLOOKUP(Port_Optimization_001[[#This Row],[POL CODE]],POL!F:H,2,0)</f>
        <v>lF23NVeEnJTbYGRyP11WaA%253D%253D</v>
      </c>
      <c r="G226" s="1" t="str">
        <f>_xlfn.IFNA(VLOOKUP(Port_Optimization_001[[#This Row],[POD CODE]],POD!F:H,2,0),"")</f>
        <v>jwrREb065TpboLLneEXnpA%253D%253D</v>
      </c>
      <c r="H226" s="1" t="str">
        <f>VLOOKUP(Port_Optimization_001[[#This Row],[POL CODE]],POL!F:H,3,0)</f>
        <v>lF23NVeEnJTbYGRyP11WaA%253D%253D</v>
      </c>
      <c r="I226" s="1" t="str">
        <f>_xlfn.IFNA(VLOOKUP(Port_Optimization_001[[#This Row],[POD CODE]],POD!F:H,3,0),"")</f>
        <v>o04TRiXb4TdXUQEl8c%252F4bQ%253D%253D</v>
      </c>
    </row>
    <row r="227" spans="1:9" x14ac:dyDescent="0.3">
      <c r="A227" s="1" t="s">
        <v>1483</v>
      </c>
      <c r="B227" s="1" t="s">
        <v>1486</v>
      </c>
      <c r="C227" s="1" t="str">
        <f t="shared" si="6"/>
        <v>CNSHA</v>
      </c>
      <c r="D227" s="1" t="str">
        <f t="shared" si="7"/>
        <v>AUMEL</v>
      </c>
      <c r="E22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https://www.weiyun001.com/routePort?st=lF23NVeEnJTbYGRyP11WaA%253D%253D&amp;de=mQZFjz2xie%252FwP%252FANxkVmnw%253D%253D&amp;rg=lF23NVeEnJTbYGRyP11WaA%253D%253D&amp;rt=o04TRiXb4TdXUQEl8c%252F4bQ%253D%253D</v>
      </c>
      <c r="F227" s="1" t="str">
        <f>VLOOKUP(Port_Optimization_001[[#This Row],[POL CODE]],POL!F:H,2,0)</f>
        <v>lF23NVeEnJTbYGRyP11WaA%253D%253D</v>
      </c>
      <c r="G227" s="1" t="str">
        <f>_xlfn.IFNA(VLOOKUP(Port_Optimization_001[[#This Row],[POD CODE]],POD!F:H,2,0),"")</f>
        <v>mQZFjz2xie%252FwP%252FANxkVmnw%253D%253D</v>
      </c>
      <c r="H227" s="1" t="str">
        <f>VLOOKUP(Port_Optimization_001[[#This Row],[POL CODE]],POL!F:H,3,0)</f>
        <v>lF23NVeEnJTbYGRyP11WaA%253D%253D</v>
      </c>
      <c r="I227" s="1" t="str">
        <f>_xlfn.IFNA(VLOOKUP(Port_Optimization_001[[#This Row],[POD CODE]],POD!F:H,3,0),"")</f>
        <v>o04TRiXb4TdXUQEl8c%252F4bQ%253D%253D</v>
      </c>
    </row>
    <row r="228" spans="1:9" x14ac:dyDescent="0.3">
      <c r="A228" s="1" t="s">
        <v>1483</v>
      </c>
      <c r="B228" s="1" t="s">
        <v>1469</v>
      </c>
      <c r="C228" s="1" t="str">
        <f t="shared" si="6"/>
        <v>CNSHA</v>
      </c>
      <c r="D228" s="1" t="str">
        <f t="shared" si="7"/>
        <v>NZAKL</v>
      </c>
      <c r="E22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https://www.weiyun001.com/routePort?st=lF23NVeEnJTbYGRyP11WaA%253D%253D&amp;de=Zupqg2bdKQS8%252FjHc%252BMcJWw%253D%253D&amp;rg=lF23NVeEnJTbYGRyP11WaA%253D%253D&amp;rt=DFH7OagiSjBueiPHX%252B3reA%253D%253D</v>
      </c>
      <c r="F228" s="1" t="str">
        <f>VLOOKUP(Port_Optimization_001[[#This Row],[POL CODE]],POL!F:H,2,0)</f>
        <v>lF23NVeEnJTbYGRyP11WaA%253D%253D</v>
      </c>
      <c r="G228" s="1" t="str">
        <f>_xlfn.IFNA(VLOOKUP(Port_Optimization_001[[#This Row],[POD CODE]],POD!F:H,2,0),"")</f>
        <v>Zupqg2bdKQS8%252FjHc%252BMcJWw%253D%253D</v>
      </c>
      <c r="H228" s="1" t="str">
        <f>VLOOKUP(Port_Optimization_001[[#This Row],[POL CODE]],POL!F:H,3,0)</f>
        <v>lF23NVeEnJTbYGRyP11WaA%253D%253D</v>
      </c>
      <c r="I228" s="1" t="str">
        <f>_xlfn.IFNA(VLOOKUP(Port_Optimization_001[[#This Row],[POD CODE]],POD!F:H,3,0),"")</f>
        <v>DFH7OagiSjBueiPHX%252B3reA%253D%253D</v>
      </c>
    </row>
    <row r="229" spans="1:9" x14ac:dyDescent="0.3">
      <c r="A229" s="1" t="s">
        <v>1483</v>
      </c>
      <c r="B229" s="1" t="s">
        <v>1404</v>
      </c>
      <c r="C229" s="1" t="str">
        <f t="shared" si="6"/>
        <v>CNSHA</v>
      </c>
      <c r="D229" s="1" t="str">
        <f t="shared" si="7"/>
        <v>VNSGN</v>
      </c>
      <c r="E22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https://www.weiyun001.com/routePort?st=lF23NVeEnJTbYGRyP11WaA%253D%253D&amp;de=CVigZ03WwsIi3M4cUzX1IA%253D%253D&amp;rg=lF23NVeEnJTbYGRyP11WaA%253D%253D&amp;rt=NFL9cTznAaa4CBynkPs%252B6Q%253D%253D</v>
      </c>
      <c r="F229" s="1" t="str">
        <f>VLOOKUP(Port_Optimization_001[[#This Row],[POL CODE]],POL!F:H,2,0)</f>
        <v>lF23NVeEnJTbYGRyP11WaA%253D%253D</v>
      </c>
      <c r="G229" s="1" t="str">
        <f>_xlfn.IFNA(VLOOKUP(Port_Optimization_001[[#This Row],[POD CODE]],POD!F:H,2,0),"")</f>
        <v>CVigZ03WwsIi3M4cUzX1IA%253D%253D</v>
      </c>
      <c r="H229" s="1" t="str">
        <f>VLOOKUP(Port_Optimization_001[[#This Row],[POL CODE]],POL!F:H,3,0)</f>
        <v>lF23NVeEnJTbYGRyP11WaA%253D%253D</v>
      </c>
      <c r="I229" s="1" t="str">
        <f>_xlfn.IFNA(VLOOKUP(Port_Optimization_001[[#This Row],[POD CODE]],POD!F:H,3,0),"")</f>
        <v>NFL9cTznAaa4CBynkPs%252B6Q%253D%253D</v>
      </c>
    </row>
    <row r="230" spans="1:9" x14ac:dyDescent="0.3">
      <c r="A230" s="1" t="s">
        <v>1483</v>
      </c>
      <c r="B230" s="1" t="s">
        <v>1407</v>
      </c>
      <c r="C230" s="1" t="str">
        <f t="shared" si="6"/>
        <v>CNSHA</v>
      </c>
      <c r="D230" s="1" t="str">
        <f t="shared" si="7"/>
        <v>VNHPH</v>
      </c>
      <c r="E23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https://www.weiyun001.com/routePort?st=lF23NVeEnJTbYGRyP11WaA%253D%253D&amp;de=fJ71EUPe75vnyZvJ9cGHxg%253D%253D&amp;rg=lF23NVeEnJTbYGRyP11WaA%253D%253D&amp;rt=NFL9cTznAaa4CBynkPs%252B6Q%253D%253D</v>
      </c>
      <c r="F230" s="1" t="str">
        <f>VLOOKUP(Port_Optimization_001[[#This Row],[POL CODE]],POL!F:H,2,0)</f>
        <v>lF23NVeEnJTbYGRyP11WaA%253D%253D</v>
      </c>
      <c r="G230" s="1" t="str">
        <f>_xlfn.IFNA(VLOOKUP(Port_Optimization_001[[#This Row],[POD CODE]],POD!F:H,2,0),"")</f>
        <v>fJ71EUPe75vnyZvJ9cGHxg%253D%253D</v>
      </c>
      <c r="H230" s="1" t="str">
        <f>VLOOKUP(Port_Optimization_001[[#This Row],[POL CODE]],POL!F:H,3,0)</f>
        <v>lF23NVeEnJTbYGRyP11WaA%253D%253D</v>
      </c>
      <c r="I230" s="1" t="str">
        <f>_xlfn.IFNA(VLOOKUP(Port_Optimization_001[[#This Row],[POD CODE]],POD!F:H,3,0),"")</f>
        <v>NFL9cTznAaa4CBynkPs%252B6Q%253D%253D</v>
      </c>
    </row>
    <row r="231" spans="1:9" x14ac:dyDescent="0.3">
      <c r="A231" s="1" t="s">
        <v>1483</v>
      </c>
      <c r="B231" s="1" t="s">
        <v>1405</v>
      </c>
      <c r="C231" s="1" t="str">
        <f t="shared" si="6"/>
        <v>CNSHA</v>
      </c>
      <c r="D231" s="1" t="str">
        <f t="shared" si="7"/>
        <v>PHMNL</v>
      </c>
      <c r="E23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https://www.weiyun001.com/routePort?st=lF23NVeEnJTbYGRyP11WaA%253D%253D&amp;de=uYYEeJiaA%252BEFqhyuOo%252FKJg%253D%253D&amp;rg=lF23NVeEnJTbYGRyP11WaA%253D%253D&amp;rt=1Cobu6af7PO5k9VHay4j%252Bg%253D%253D</v>
      </c>
      <c r="F231" s="1" t="str">
        <f>VLOOKUP(Port_Optimization_001[[#This Row],[POL CODE]],POL!F:H,2,0)</f>
        <v>lF23NVeEnJTbYGRyP11WaA%253D%253D</v>
      </c>
      <c r="G231" s="1" t="str">
        <f>_xlfn.IFNA(VLOOKUP(Port_Optimization_001[[#This Row],[POD CODE]],POD!F:H,2,0),"")</f>
        <v>uYYEeJiaA%252BEFqhyuOo%252FKJg%253D%253D</v>
      </c>
      <c r="H231" s="1" t="str">
        <f>VLOOKUP(Port_Optimization_001[[#This Row],[POL CODE]],POL!F:H,3,0)</f>
        <v>lF23NVeEnJTbYGRyP11WaA%253D%253D</v>
      </c>
      <c r="I231" s="1" t="str">
        <f>_xlfn.IFNA(VLOOKUP(Port_Optimization_001[[#This Row],[POD CODE]],POD!F:H,3,0),"")</f>
        <v>1Cobu6af7PO5k9VHay4j%252Bg%253D%253D</v>
      </c>
    </row>
    <row r="232" spans="1:9" x14ac:dyDescent="0.3">
      <c r="A232" s="1" t="s">
        <v>1483</v>
      </c>
      <c r="B232" s="1" t="s">
        <v>1408</v>
      </c>
      <c r="C232" s="1" t="str">
        <f t="shared" si="6"/>
        <v>CNSHA</v>
      </c>
      <c r="D232" s="1" t="str">
        <f t="shared" si="7"/>
        <v>THLCH</v>
      </c>
      <c r="E23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https://www.weiyun001.com/routePort?st=lF23NVeEnJTbYGRyP11WaA%253D%253D&amp;de=OxmUlXWM%252FAUYd%252FPp1zlwDA%253D%253D&amp;rg=lF23NVeEnJTbYGRyP11WaA%253D%253D&amp;rt=NFL9cTznAaa4CBynkPs%252B6Q%253D%253D</v>
      </c>
      <c r="F232" s="1" t="str">
        <f>VLOOKUP(Port_Optimization_001[[#This Row],[POL CODE]],POL!F:H,2,0)</f>
        <v>lF23NVeEnJTbYGRyP11WaA%253D%253D</v>
      </c>
      <c r="G232" s="1" t="str">
        <f>_xlfn.IFNA(VLOOKUP(Port_Optimization_001[[#This Row],[POD CODE]],POD!F:H,2,0),"")</f>
        <v>OxmUlXWM%252FAUYd%252FPp1zlwDA%253D%253D</v>
      </c>
      <c r="H232" s="1" t="str">
        <f>VLOOKUP(Port_Optimization_001[[#This Row],[POL CODE]],POL!F:H,3,0)</f>
        <v>lF23NVeEnJTbYGRyP11WaA%253D%253D</v>
      </c>
      <c r="I232" s="1" t="str">
        <f>_xlfn.IFNA(VLOOKUP(Port_Optimization_001[[#This Row],[POD CODE]],POD!F:H,3,0),"")</f>
        <v>NFL9cTznAaa4CBynkPs%252B6Q%253D%253D</v>
      </c>
    </row>
    <row r="233" spans="1:9" x14ac:dyDescent="0.3">
      <c r="A233" s="1" t="s">
        <v>1483</v>
      </c>
      <c r="B233" s="1" t="s">
        <v>1470</v>
      </c>
      <c r="C233" s="1" t="str">
        <f t="shared" si="6"/>
        <v>CNSHA</v>
      </c>
      <c r="D233" s="1" t="str">
        <f t="shared" si="7"/>
        <v>MYPEN</v>
      </c>
      <c r="E23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https://www.weiyun001.com/routePort?st=lF23NVeEnJTbYGRyP11WaA%253D%253D&amp;de=tVaiOFP7i%252Bq6FkaCrH4cPg%253D%253D&amp;rg=lF23NVeEnJTbYGRyP11WaA%253D%253D&amp;rt=NFL9cTznAaa4CBynkPs%252B6Q%253D%253D</v>
      </c>
      <c r="F233" s="1" t="str">
        <f>VLOOKUP(Port_Optimization_001[[#This Row],[POL CODE]],POL!F:H,2,0)</f>
        <v>lF23NVeEnJTbYGRyP11WaA%253D%253D</v>
      </c>
      <c r="G233" s="1" t="str">
        <f>_xlfn.IFNA(VLOOKUP(Port_Optimization_001[[#This Row],[POD CODE]],POD!F:H,2,0),"")</f>
        <v>tVaiOFP7i%252Bq6FkaCrH4cPg%253D%253D</v>
      </c>
      <c r="H233" s="1" t="str">
        <f>VLOOKUP(Port_Optimization_001[[#This Row],[POL CODE]],POL!F:H,3,0)</f>
        <v>lF23NVeEnJTbYGRyP11WaA%253D%253D</v>
      </c>
      <c r="I233" s="1" t="str">
        <f>_xlfn.IFNA(VLOOKUP(Port_Optimization_001[[#This Row],[POD CODE]],POD!F:H,3,0),"")</f>
        <v>NFL9cTznAaa4CBynkPs%252B6Q%253D%253D</v>
      </c>
    </row>
    <row r="234" spans="1:9" x14ac:dyDescent="0.3">
      <c r="A234" s="1" t="s">
        <v>1483</v>
      </c>
      <c r="B234" s="1" t="s">
        <v>1406</v>
      </c>
      <c r="C234" s="1" t="str">
        <f t="shared" si="6"/>
        <v>CNSHA</v>
      </c>
      <c r="D234" s="1" t="str">
        <f t="shared" si="7"/>
        <v>IDJKT</v>
      </c>
      <c r="E23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https://www.weiyun001.com/routePort?st=lF23NVeEnJTbYGRyP11WaA%253D%253D&amp;de=ffFYXkaqrPSmqfQq9H1AYQ%253D%253D&amp;rg=lF23NVeEnJTbYGRyP11WaA%253D%253D&amp;rt=1Cobu6af7PO5k9VHay4j%252Bg%253D%253D</v>
      </c>
      <c r="F234" s="1" t="str">
        <f>VLOOKUP(Port_Optimization_001[[#This Row],[POL CODE]],POL!F:H,2,0)</f>
        <v>lF23NVeEnJTbYGRyP11WaA%253D%253D</v>
      </c>
      <c r="G234" s="1" t="str">
        <f>_xlfn.IFNA(VLOOKUP(Port_Optimization_001[[#This Row],[POD CODE]],POD!F:H,2,0),"")</f>
        <v>ffFYXkaqrPSmqfQq9H1AYQ%253D%253D</v>
      </c>
      <c r="H234" s="1" t="str">
        <f>VLOOKUP(Port_Optimization_001[[#This Row],[POL CODE]],POL!F:H,3,0)</f>
        <v>lF23NVeEnJTbYGRyP11WaA%253D%253D</v>
      </c>
      <c r="I234" s="1" t="str">
        <f>_xlfn.IFNA(VLOOKUP(Port_Optimization_001[[#This Row],[POD CODE]],POD!F:H,3,0),"")</f>
        <v>1Cobu6af7PO5k9VHay4j%252Bg%253D%253D</v>
      </c>
    </row>
    <row r="235" spans="1:9" x14ac:dyDescent="0.3">
      <c r="A235" s="1" t="s">
        <v>1483</v>
      </c>
      <c r="B235" s="1" t="s">
        <v>1409</v>
      </c>
      <c r="C235" s="1" t="str">
        <f t="shared" si="6"/>
        <v>CNSHA</v>
      </c>
      <c r="D235" s="1" t="str">
        <f t="shared" si="7"/>
        <v>MYTPP</v>
      </c>
      <c r="E23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https://www.weiyun001.com/routePort?st=lF23NVeEnJTbYGRyP11WaA%253D%253D&amp;de=Zfdwz371n2fV4bpx64twzQ%253D%253D&amp;rg=lF23NVeEnJTbYGRyP11WaA%253D%253D&amp;rt=NFL9cTznAaa4CBynkPs%252B6Q%253D%253D</v>
      </c>
      <c r="F235" s="1" t="str">
        <f>VLOOKUP(Port_Optimization_001[[#This Row],[POL CODE]],POL!F:H,2,0)</f>
        <v>lF23NVeEnJTbYGRyP11WaA%253D%253D</v>
      </c>
      <c r="G235" s="1" t="str">
        <f>_xlfn.IFNA(VLOOKUP(Port_Optimization_001[[#This Row],[POD CODE]],POD!F:H,2,0),"")</f>
        <v>Zfdwz371n2fV4bpx64twzQ%253D%253D</v>
      </c>
      <c r="H235" s="1" t="str">
        <f>VLOOKUP(Port_Optimization_001[[#This Row],[POL CODE]],POL!F:H,3,0)</f>
        <v>lF23NVeEnJTbYGRyP11WaA%253D%253D</v>
      </c>
      <c r="I235" s="1" t="str">
        <f>_xlfn.IFNA(VLOOKUP(Port_Optimization_001[[#This Row],[POD CODE]],POD!F:H,3,0),"")</f>
        <v>NFL9cTznAaa4CBynkPs%252B6Q%253D%253D</v>
      </c>
    </row>
    <row r="236" spans="1:9" x14ac:dyDescent="0.3">
      <c r="A236" s="1" t="s">
        <v>1483</v>
      </c>
      <c r="B236" s="1" t="s">
        <v>1414</v>
      </c>
      <c r="C236" s="1" t="str">
        <f t="shared" si="6"/>
        <v>CNSHA</v>
      </c>
      <c r="D236" s="1" t="str">
        <f t="shared" si="7"/>
        <v>MYPGU</v>
      </c>
      <c r="E23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https://www.weiyun001.com/routePort?st=lF23NVeEnJTbYGRyP11WaA%253D%253D&amp;de=ANDy0tuuXA3bR0I4F4vWhg%253D%253D&amp;rg=lF23NVeEnJTbYGRyP11WaA%253D%253D&amp;rt=NFL9cTznAaa4CBynkPs%252B6Q%253D%253D</v>
      </c>
      <c r="F236" s="1" t="str">
        <f>VLOOKUP(Port_Optimization_001[[#This Row],[POL CODE]],POL!F:H,2,0)</f>
        <v>lF23NVeEnJTbYGRyP11WaA%253D%253D</v>
      </c>
      <c r="G236" s="1" t="str">
        <f>_xlfn.IFNA(VLOOKUP(Port_Optimization_001[[#This Row],[POD CODE]],POD!F:H,2,0),"")</f>
        <v>ANDy0tuuXA3bR0I4F4vWhg%253D%253D</v>
      </c>
      <c r="H236" s="1" t="str">
        <f>VLOOKUP(Port_Optimization_001[[#This Row],[POL CODE]],POL!F:H,3,0)</f>
        <v>lF23NVeEnJTbYGRyP11WaA%253D%253D</v>
      </c>
      <c r="I236" s="1" t="str">
        <f>_xlfn.IFNA(VLOOKUP(Port_Optimization_001[[#This Row],[POD CODE]],POD!F:H,3,0),"")</f>
        <v>NFL9cTznAaa4CBynkPs%252B6Q%253D%253D</v>
      </c>
    </row>
    <row r="237" spans="1:9" x14ac:dyDescent="0.3">
      <c r="A237" s="1" t="s">
        <v>1483</v>
      </c>
      <c r="B237" s="1" t="s">
        <v>1487</v>
      </c>
      <c r="C237" s="1" t="str">
        <f t="shared" si="6"/>
        <v>CNSHA</v>
      </c>
      <c r="D237" s="1" t="str">
        <f t="shared" si="7"/>
        <v>IDBTM</v>
      </c>
      <c r="E23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https://www.weiyun001.com/routePort?st=lF23NVeEnJTbYGRyP11WaA%253D%253D&amp;de=xhpAdrKuPKt1pfytm9rYfA%253D%253D&amp;rg=lF23NVeEnJTbYGRyP11WaA%253D%253D&amp;rt=1Cobu6af7PO5k9VHay4j%252Bg%253D%253D</v>
      </c>
      <c r="F237" s="1" t="str">
        <f>VLOOKUP(Port_Optimization_001[[#This Row],[POL CODE]],POL!F:H,2,0)</f>
        <v>lF23NVeEnJTbYGRyP11WaA%253D%253D</v>
      </c>
      <c r="G237" s="1" t="str">
        <f>_xlfn.IFNA(VLOOKUP(Port_Optimization_001[[#This Row],[POD CODE]],POD!F:H,2,0),"")</f>
        <v>xhpAdrKuPKt1pfytm9rYfA%253D%253D</v>
      </c>
      <c r="H237" s="1" t="str">
        <f>VLOOKUP(Port_Optimization_001[[#This Row],[POL CODE]],POL!F:H,3,0)</f>
        <v>lF23NVeEnJTbYGRyP11WaA%253D%253D</v>
      </c>
      <c r="I237" s="1" t="str">
        <f>_xlfn.IFNA(VLOOKUP(Port_Optimization_001[[#This Row],[POD CODE]],POD!F:H,3,0),"")</f>
        <v>1Cobu6af7PO5k9VHay4j%252Bg%253D%253D</v>
      </c>
    </row>
    <row r="238" spans="1:9" x14ac:dyDescent="0.3">
      <c r="A238" s="1" t="s">
        <v>1483</v>
      </c>
      <c r="B238" s="1" t="s">
        <v>1488</v>
      </c>
      <c r="C238" s="1" t="str">
        <f t="shared" si="6"/>
        <v>CNSHA</v>
      </c>
      <c r="D238" s="1" t="str">
        <f t="shared" si="7"/>
        <v>PHCGY</v>
      </c>
      <c r="E23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https://www.weiyun001.com/routePort?st=lF23NVeEnJTbYGRyP11WaA%253D%253D&amp;de=gv0E5TKMKSNdTR1sd7FM4A%253D%253D&amp;rg=lF23NVeEnJTbYGRyP11WaA%253D%253D&amp;rt=1Cobu6af7PO5k9VHay4j%252Bg%253D%253D</v>
      </c>
      <c r="F238" s="1" t="str">
        <f>VLOOKUP(Port_Optimization_001[[#This Row],[POL CODE]],POL!F:H,2,0)</f>
        <v>lF23NVeEnJTbYGRyP11WaA%253D%253D</v>
      </c>
      <c r="G238" s="1" t="str">
        <f>_xlfn.IFNA(VLOOKUP(Port_Optimization_001[[#This Row],[POD CODE]],POD!F:H,2,0),"")</f>
        <v>gv0E5TKMKSNdTR1sd7FM4A%253D%253D</v>
      </c>
      <c r="H238" s="1" t="str">
        <f>VLOOKUP(Port_Optimization_001[[#This Row],[POL CODE]],POL!F:H,3,0)</f>
        <v>lF23NVeEnJTbYGRyP11WaA%253D%253D</v>
      </c>
      <c r="I238" s="1" t="str">
        <f>_xlfn.IFNA(VLOOKUP(Port_Optimization_001[[#This Row],[POD CODE]],POD!F:H,3,0),"")</f>
        <v>1Cobu6af7PO5k9VHay4j%252Bg%253D%253D</v>
      </c>
    </row>
    <row r="239" spans="1:9" x14ac:dyDescent="0.3">
      <c r="A239" s="1" t="s">
        <v>1483</v>
      </c>
      <c r="B239" s="1" t="s">
        <v>1489</v>
      </c>
      <c r="C239" s="1" t="str">
        <f t="shared" si="6"/>
        <v>CNSHA</v>
      </c>
      <c r="D239" s="1" t="str">
        <f t="shared" si="7"/>
        <v>VNC8Q</v>
      </c>
      <c r="E23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https://www.weiyun001.com/routePort?st=lF23NVeEnJTbYGRyP11WaA%253D%253D&amp;de=ZiB9qjAUBglOv8YWt1vesA%253D%253D&amp;rg=lF23NVeEnJTbYGRyP11WaA%253D%253D&amp;rt=NFL9cTznAaa4CBynkPs%252B6Q%253D%253D</v>
      </c>
      <c r="F239" s="1" t="str">
        <f>VLOOKUP(Port_Optimization_001[[#This Row],[POL CODE]],POL!F:H,2,0)</f>
        <v>lF23NVeEnJTbYGRyP11WaA%253D%253D</v>
      </c>
      <c r="G239" s="1" t="str">
        <f>_xlfn.IFNA(VLOOKUP(Port_Optimization_001[[#This Row],[POD CODE]],POD!F:H,2,0),"")</f>
        <v>ZiB9qjAUBglOv8YWt1vesA%253D%253D</v>
      </c>
      <c r="H239" s="1" t="str">
        <f>VLOOKUP(Port_Optimization_001[[#This Row],[POL CODE]],POL!F:H,3,0)</f>
        <v>lF23NVeEnJTbYGRyP11WaA%253D%253D</v>
      </c>
      <c r="I239" s="1" t="str">
        <f>_xlfn.IFNA(VLOOKUP(Port_Optimization_001[[#This Row],[POD CODE]],POD!F:H,3,0),"")</f>
        <v>NFL9cTznAaa4CBynkPs%252B6Q%253D%253D</v>
      </c>
    </row>
    <row r="240" spans="1:9" x14ac:dyDescent="0.3">
      <c r="A240" s="1" t="s">
        <v>1483</v>
      </c>
      <c r="B240" s="1" t="s">
        <v>1415</v>
      </c>
      <c r="C240" s="1" t="str">
        <f t="shared" si="6"/>
        <v>CNSHA</v>
      </c>
      <c r="D240" s="1" t="str">
        <f t="shared" si="7"/>
        <v>MYPKG</v>
      </c>
      <c r="E24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https://www.weiyun001.com/routePort?st=lF23NVeEnJTbYGRyP11WaA%253D%253D&amp;de=2WJxBRbU754HNWDDwVsKgQ%253D%253D&amp;rg=lF23NVeEnJTbYGRyP11WaA%253D%253D&amp;rt=NFL9cTznAaa4CBynkPs%252B6Q%253D%253D</v>
      </c>
      <c r="F240" s="1" t="str">
        <f>VLOOKUP(Port_Optimization_001[[#This Row],[POL CODE]],POL!F:H,2,0)</f>
        <v>lF23NVeEnJTbYGRyP11WaA%253D%253D</v>
      </c>
      <c r="G240" s="1" t="str">
        <f>_xlfn.IFNA(VLOOKUP(Port_Optimization_001[[#This Row],[POD CODE]],POD!F:H,2,0),"")</f>
        <v>2WJxBRbU754HNWDDwVsKgQ%253D%253D</v>
      </c>
      <c r="H240" s="1" t="str">
        <f>VLOOKUP(Port_Optimization_001[[#This Row],[POL CODE]],POL!F:H,3,0)</f>
        <v>lF23NVeEnJTbYGRyP11WaA%253D%253D</v>
      </c>
      <c r="I240" s="1" t="str">
        <f>_xlfn.IFNA(VLOOKUP(Port_Optimization_001[[#This Row],[POD CODE]],POD!F:H,3,0),"")</f>
        <v>NFL9cTznAaa4CBynkPs%252B6Q%253D%253D</v>
      </c>
    </row>
    <row r="241" spans="1:9" x14ac:dyDescent="0.3">
      <c r="A241" s="1" t="s">
        <v>1483</v>
      </c>
      <c r="B241" s="1" t="s">
        <v>1471</v>
      </c>
      <c r="C241" s="1" t="str">
        <f t="shared" si="6"/>
        <v>CNSHA</v>
      </c>
      <c r="D241" s="1" t="str">
        <f t="shared" si="7"/>
        <v>BDCGP</v>
      </c>
      <c r="E24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https://www.weiyun001.com/routePort?st=lF23NVeEnJTbYGRyP11WaA%253D%253D&amp;de=DI5vO7b5NtdrSNEEfjw64w%253D%253D&amp;rg=lF23NVeEnJTbYGRyP11WaA%253D%253D&amp;rt=ZY9R0ulrUtfklWEEetRGPg%253D%253D</v>
      </c>
      <c r="F241" s="1" t="str">
        <f>VLOOKUP(Port_Optimization_001[[#This Row],[POL CODE]],POL!F:H,2,0)</f>
        <v>lF23NVeEnJTbYGRyP11WaA%253D%253D</v>
      </c>
      <c r="G241" s="1" t="str">
        <f>_xlfn.IFNA(VLOOKUP(Port_Optimization_001[[#This Row],[POD CODE]],POD!F:H,2,0),"")</f>
        <v>DI5vO7b5NtdrSNEEfjw64w%253D%253D</v>
      </c>
      <c r="H241" s="1" t="str">
        <f>VLOOKUP(Port_Optimization_001[[#This Row],[POL CODE]],POL!F:H,3,0)</f>
        <v>lF23NVeEnJTbYGRyP11WaA%253D%253D</v>
      </c>
      <c r="I241" s="1" t="str">
        <f>_xlfn.IFNA(VLOOKUP(Port_Optimization_001[[#This Row],[POD CODE]],POD!F:H,3,0),"")</f>
        <v>ZY9R0ulrUtfklWEEetRGPg%253D%253D</v>
      </c>
    </row>
    <row r="242" spans="1:9" x14ac:dyDescent="0.3">
      <c r="A242" s="1" t="s">
        <v>1483</v>
      </c>
      <c r="B242" s="1" t="s">
        <v>1428</v>
      </c>
      <c r="C242" s="1" t="str">
        <f t="shared" si="6"/>
        <v>CNSHA</v>
      </c>
      <c r="D242" s="1" t="str">
        <f t="shared" si="7"/>
        <v>RUVYP</v>
      </c>
      <c r="E24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https://www.weiyun001.com/routePort?st=lF23NVeEnJTbYGRyP11WaA%253D%253D&amp;de=KlSWRjDAkivH8De8U2pqPQ%253D%253D&amp;rg=lF23NVeEnJTbYGRyP11WaA%253D%253D&amp;rt=r8vdJELtQ6mqgPEUMkhs6w%253D%253D</v>
      </c>
      <c r="F242" s="1" t="str">
        <f>VLOOKUP(Port_Optimization_001[[#This Row],[POL CODE]],POL!F:H,2,0)</f>
        <v>lF23NVeEnJTbYGRyP11WaA%253D%253D</v>
      </c>
      <c r="G242" s="1" t="str">
        <f>_xlfn.IFNA(VLOOKUP(Port_Optimization_001[[#This Row],[POD CODE]],POD!F:H,2,0),"")</f>
        <v>KlSWRjDAkivH8De8U2pqPQ%253D%253D</v>
      </c>
      <c r="H242" s="1" t="str">
        <f>VLOOKUP(Port_Optimization_001[[#This Row],[POL CODE]],POL!F:H,3,0)</f>
        <v>lF23NVeEnJTbYGRyP11WaA%253D%253D</v>
      </c>
      <c r="I242" s="1" t="str">
        <f>_xlfn.IFNA(VLOOKUP(Port_Optimization_001[[#This Row],[POD CODE]],POD!F:H,3,0),"")</f>
        <v>r8vdJELtQ6mqgPEUMkhs6w%253D%253D</v>
      </c>
    </row>
    <row r="243" spans="1:9" x14ac:dyDescent="0.3">
      <c r="A243" s="1" t="s">
        <v>1483</v>
      </c>
      <c r="B243" s="1" t="s">
        <v>1412</v>
      </c>
      <c r="C243" s="1" t="str">
        <f t="shared" si="6"/>
        <v>CNSHA</v>
      </c>
      <c r="D243" s="1" t="str">
        <f t="shared" si="7"/>
        <v>KHKOS</v>
      </c>
      <c r="E24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https://www.weiyun001.com/routePort?st=lF23NVeEnJTbYGRyP11WaA%253D%253D&amp;de=EVsBMZX0DHq4aZyn1LHQog%253D%253D&amp;rg=lF23NVeEnJTbYGRyP11WaA%253D%253D&amp;rt=NFL9cTznAaa4CBynkPs%252B6Q%253D%253D</v>
      </c>
      <c r="F243" s="1" t="str">
        <f>VLOOKUP(Port_Optimization_001[[#This Row],[POL CODE]],POL!F:H,2,0)</f>
        <v>lF23NVeEnJTbYGRyP11WaA%253D%253D</v>
      </c>
      <c r="G243" s="1" t="str">
        <f>_xlfn.IFNA(VLOOKUP(Port_Optimization_001[[#This Row],[POD CODE]],POD!F:H,2,0),"")</f>
        <v>EVsBMZX0DHq4aZyn1LHQog%253D%253D</v>
      </c>
      <c r="H243" s="1" t="str">
        <f>VLOOKUP(Port_Optimization_001[[#This Row],[POL CODE]],POL!F:H,3,0)</f>
        <v>lF23NVeEnJTbYGRyP11WaA%253D%253D</v>
      </c>
      <c r="I243" s="1" t="str">
        <f>_xlfn.IFNA(VLOOKUP(Port_Optimization_001[[#This Row],[POD CODE]],POD!F:H,3,0),"")</f>
        <v>NFL9cTznAaa4CBynkPs%252B6Q%253D%253D</v>
      </c>
    </row>
    <row r="244" spans="1:9" x14ac:dyDescent="0.3">
      <c r="A244" s="1" t="s">
        <v>1483</v>
      </c>
      <c r="B244" s="1" t="s">
        <v>1413</v>
      </c>
      <c r="C244" s="1" t="str">
        <f t="shared" si="6"/>
        <v>CNSHA</v>
      </c>
      <c r="D244" s="1" t="str">
        <f t="shared" si="7"/>
        <v>PHDVO</v>
      </c>
      <c r="E24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https://www.weiyun001.com/routePort?st=lF23NVeEnJTbYGRyP11WaA%253D%253D&amp;de=HztwdcvWfyObYMSuS7M4Vg%253D%253D&amp;rg=lF23NVeEnJTbYGRyP11WaA%253D%253D&amp;rt=1Cobu6af7PO5k9VHay4j%252Bg%253D%253D</v>
      </c>
      <c r="F244" s="1" t="str">
        <f>VLOOKUP(Port_Optimization_001[[#This Row],[POL CODE]],POL!F:H,2,0)</f>
        <v>lF23NVeEnJTbYGRyP11WaA%253D%253D</v>
      </c>
      <c r="G244" s="1" t="str">
        <f>_xlfn.IFNA(VLOOKUP(Port_Optimization_001[[#This Row],[POD CODE]],POD!F:H,2,0),"")</f>
        <v>HztwdcvWfyObYMSuS7M4Vg%253D%253D</v>
      </c>
      <c r="H244" s="1" t="str">
        <f>VLOOKUP(Port_Optimization_001[[#This Row],[POL CODE]],POL!F:H,3,0)</f>
        <v>lF23NVeEnJTbYGRyP11WaA%253D%253D</v>
      </c>
      <c r="I244" s="1" t="str">
        <f>_xlfn.IFNA(VLOOKUP(Port_Optimization_001[[#This Row],[POD CODE]],POD!F:H,3,0),"")</f>
        <v>1Cobu6af7PO5k9VHay4j%252Bg%253D%253D</v>
      </c>
    </row>
    <row r="245" spans="1:9" x14ac:dyDescent="0.3">
      <c r="A245" s="1" t="s">
        <v>1483</v>
      </c>
      <c r="B245" s="1" t="s">
        <v>1411</v>
      </c>
      <c r="C245" s="1" t="str">
        <f t="shared" si="6"/>
        <v>CNSHA</v>
      </c>
      <c r="D245" s="1" t="str">
        <f t="shared" si="7"/>
        <v>SGSIN</v>
      </c>
      <c r="E24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https://www.weiyun001.com/routePort?st=lF23NVeEnJTbYGRyP11WaA%253D%253D&amp;de=YqmvNL3mswajMEBG16hT2A%253D%253D&amp;rg=lF23NVeEnJTbYGRyP11WaA%253D%253D&amp;rt=NFL9cTznAaa4CBynkPs%252B6Q%253D%253D</v>
      </c>
      <c r="F245" s="1" t="str">
        <f>VLOOKUP(Port_Optimization_001[[#This Row],[POL CODE]],POL!F:H,2,0)</f>
        <v>lF23NVeEnJTbYGRyP11WaA%253D%253D</v>
      </c>
      <c r="G245" s="1" t="str">
        <f>_xlfn.IFNA(VLOOKUP(Port_Optimization_001[[#This Row],[POD CODE]],POD!F:H,2,0),"")</f>
        <v>YqmvNL3mswajMEBG16hT2A%253D%253D</v>
      </c>
      <c r="H245" s="1" t="str">
        <f>VLOOKUP(Port_Optimization_001[[#This Row],[POL CODE]],POL!F:H,3,0)</f>
        <v>lF23NVeEnJTbYGRyP11WaA%253D%253D</v>
      </c>
      <c r="I245" s="1" t="str">
        <f>_xlfn.IFNA(VLOOKUP(Port_Optimization_001[[#This Row],[POD CODE]],POD!F:H,3,0),"")</f>
        <v>NFL9cTznAaa4CBynkPs%252B6Q%253D%253D</v>
      </c>
    </row>
    <row r="246" spans="1:9" x14ac:dyDescent="0.3">
      <c r="A246" s="1" t="s">
        <v>1483</v>
      </c>
      <c r="B246" s="1" t="s">
        <v>1410</v>
      </c>
      <c r="C246" s="1" t="str">
        <f t="shared" si="6"/>
        <v>CNSHA</v>
      </c>
      <c r="D246" s="1" t="str">
        <f t="shared" si="7"/>
        <v>IDSUB</v>
      </c>
      <c r="E24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https://www.weiyun001.com/routePort?st=lF23NVeEnJTbYGRyP11WaA%253D%253D&amp;de=HlaejIbbmrtywbtr93rj1w%253D%253D&amp;rg=lF23NVeEnJTbYGRyP11WaA%253D%253D&amp;rt=1Cobu6af7PO5k9VHay4j%252Bg%253D%253D</v>
      </c>
      <c r="F246" s="1" t="str">
        <f>VLOOKUP(Port_Optimization_001[[#This Row],[POL CODE]],POL!F:H,2,0)</f>
        <v>lF23NVeEnJTbYGRyP11WaA%253D%253D</v>
      </c>
      <c r="G246" s="1" t="str">
        <f>_xlfn.IFNA(VLOOKUP(Port_Optimization_001[[#This Row],[POD CODE]],POD!F:H,2,0),"")</f>
        <v>HlaejIbbmrtywbtr93rj1w%253D%253D</v>
      </c>
      <c r="H246" s="1" t="str">
        <f>VLOOKUP(Port_Optimization_001[[#This Row],[POL CODE]],POL!F:H,3,0)</f>
        <v>lF23NVeEnJTbYGRyP11WaA%253D%253D</v>
      </c>
      <c r="I246" s="1" t="str">
        <f>_xlfn.IFNA(VLOOKUP(Port_Optimization_001[[#This Row],[POD CODE]],POD!F:H,3,0),"")</f>
        <v>1Cobu6af7PO5k9VHay4j%252Bg%253D%253D</v>
      </c>
    </row>
    <row r="247" spans="1:9" x14ac:dyDescent="0.3">
      <c r="A247" s="1" t="s">
        <v>1483</v>
      </c>
      <c r="B247" s="1" t="s">
        <v>1472</v>
      </c>
      <c r="C247" s="1" t="str">
        <f t="shared" si="6"/>
        <v>CNSHA</v>
      </c>
      <c r="D247" s="1" t="str">
        <f t="shared" si="7"/>
        <v>MMRGN</v>
      </c>
      <c r="E24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https://www.weiyun001.com/routePort?st=lF23NVeEnJTbYGRyP11WaA%253D%253D&amp;de=Oow219Y%252BoShTWKsSJGO%252BtQ%253D%253D&amp;rg=lF23NVeEnJTbYGRyP11WaA%253D%253D&amp;rt=NFL9cTznAaa4CBynkPs%252B6Q%253D%253D</v>
      </c>
      <c r="F247" s="1" t="str">
        <f>VLOOKUP(Port_Optimization_001[[#This Row],[POL CODE]],POL!F:H,2,0)</f>
        <v>lF23NVeEnJTbYGRyP11WaA%253D%253D</v>
      </c>
      <c r="G247" s="1" t="str">
        <f>_xlfn.IFNA(VLOOKUP(Port_Optimization_001[[#This Row],[POD CODE]],POD!F:H,2,0),"")</f>
        <v>Oow219Y%252BoShTWKsSJGO%252BtQ%253D%253D</v>
      </c>
      <c r="H247" s="1" t="str">
        <f>VLOOKUP(Port_Optimization_001[[#This Row],[POL CODE]],POL!F:H,3,0)</f>
        <v>lF23NVeEnJTbYGRyP11WaA%253D%253D</v>
      </c>
      <c r="I247" s="1" t="str">
        <f>_xlfn.IFNA(VLOOKUP(Port_Optimization_001[[#This Row],[POD CODE]],POD!F:H,3,0),"")</f>
        <v>NFL9cTznAaa4CBynkPs%252B6Q%253D%253D</v>
      </c>
    </row>
    <row r="248" spans="1:9" x14ac:dyDescent="0.3">
      <c r="A248" s="1" t="s">
        <v>1483</v>
      </c>
      <c r="B248" s="1" t="s">
        <v>1479</v>
      </c>
      <c r="C248" s="1" t="str">
        <f t="shared" si="6"/>
        <v>CNSHA</v>
      </c>
      <c r="D248" s="1" t="str">
        <f t="shared" si="7"/>
        <v>VNTOT</v>
      </c>
      <c r="E24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https://www.weiyun001.com/routePort?st=lF23NVeEnJTbYGRyP11WaA%253D%253D&amp;de=EqaJ6TDe%252FxEv5kTMGPyXEw%253D%253D&amp;rg=lF23NVeEnJTbYGRyP11WaA%253D%253D&amp;rt=NFL9cTznAaa4CBynkPs%252B6Q%253D%253D</v>
      </c>
      <c r="F248" s="1" t="str">
        <f>VLOOKUP(Port_Optimization_001[[#This Row],[POL CODE]],POL!F:H,2,0)</f>
        <v>lF23NVeEnJTbYGRyP11WaA%253D%253D</v>
      </c>
      <c r="G248" s="1" t="str">
        <f>_xlfn.IFNA(VLOOKUP(Port_Optimization_001[[#This Row],[POD CODE]],POD!F:H,2,0),"")</f>
        <v>EqaJ6TDe%252FxEv5kTMGPyXEw%253D%253D</v>
      </c>
      <c r="H248" s="1" t="str">
        <f>VLOOKUP(Port_Optimization_001[[#This Row],[POL CODE]],POL!F:H,3,0)</f>
        <v>lF23NVeEnJTbYGRyP11WaA%253D%253D</v>
      </c>
      <c r="I248" s="1" t="str">
        <f>_xlfn.IFNA(VLOOKUP(Port_Optimization_001[[#This Row],[POD CODE]],POD!F:H,3,0),"")</f>
        <v>NFL9cTznAaa4CBynkPs%252B6Q%253D%253D</v>
      </c>
    </row>
    <row r="249" spans="1:9" x14ac:dyDescent="0.3">
      <c r="A249" s="1" t="s">
        <v>1483</v>
      </c>
      <c r="B249" s="1" t="s">
        <v>1417</v>
      </c>
      <c r="C249" s="1" t="str">
        <f t="shared" si="6"/>
        <v>CNSHA</v>
      </c>
      <c r="D249" s="1" t="str">
        <f t="shared" si="7"/>
        <v>KRPUS</v>
      </c>
      <c r="E24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https://www.weiyun001.com/routePort?st=lF23NVeEnJTbYGRyP11WaA%253D%253D&amp;de=8pLSQnjoVis1CMK2AzkKQA%253D%253D&amp;rg=lF23NVeEnJTbYGRyP11WaA%253D%253D&amp;rt=KylH8Pr1ynXpbeNIUggL%252FQ%253D%253D</v>
      </c>
      <c r="F249" s="1" t="str">
        <f>VLOOKUP(Port_Optimization_001[[#This Row],[POL CODE]],POL!F:H,2,0)</f>
        <v>lF23NVeEnJTbYGRyP11WaA%253D%253D</v>
      </c>
      <c r="G249" s="1" t="str">
        <f>_xlfn.IFNA(VLOOKUP(Port_Optimization_001[[#This Row],[POD CODE]],POD!F:H,2,0),"")</f>
        <v>8pLSQnjoVis1CMK2AzkKQA%253D%253D</v>
      </c>
      <c r="H249" s="1" t="str">
        <f>VLOOKUP(Port_Optimization_001[[#This Row],[POL CODE]],POL!F:H,3,0)</f>
        <v>lF23NVeEnJTbYGRyP11WaA%253D%253D</v>
      </c>
      <c r="I249" s="1" t="str">
        <f>_xlfn.IFNA(VLOOKUP(Port_Optimization_001[[#This Row],[POD CODE]],POD!F:H,3,0),"")</f>
        <v>KylH8Pr1ynXpbeNIUggL%252FQ%253D%253D</v>
      </c>
    </row>
    <row r="250" spans="1:9" x14ac:dyDescent="0.3">
      <c r="A250" s="1" t="s">
        <v>1483</v>
      </c>
      <c r="B250" s="1" t="s">
        <v>1418</v>
      </c>
      <c r="C250" s="1" t="str">
        <f t="shared" si="6"/>
        <v>CNSHA</v>
      </c>
      <c r="D250" s="1" t="str">
        <f t="shared" si="7"/>
        <v>JPYOK</v>
      </c>
      <c r="E25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https://www.weiyun001.com/routePort?st=lF23NVeEnJTbYGRyP11WaA%253D%253D&amp;de=avzQ%252FxXt%252BKfrK6vIvt59QA%253D%253D&amp;rg=lF23NVeEnJTbYGRyP11WaA%253D%253D&amp;rt=RHiB9uH2veEacXFy%252F4no2w%253D%253D</v>
      </c>
      <c r="F250" s="1" t="str">
        <f>VLOOKUP(Port_Optimization_001[[#This Row],[POL CODE]],POL!F:H,2,0)</f>
        <v>lF23NVeEnJTbYGRyP11WaA%253D%253D</v>
      </c>
      <c r="G250" s="1" t="str">
        <f>_xlfn.IFNA(VLOOKUP(Port_Optimization_001[[#This Row],[POD CODE]],POD!F:H,2,0),"")</f>
        <v>avzQ%252FxXt%252BKfrK6vIvt59QA%253D%253D</v>
      </c>
      <c r="H250" s="1" t="str">
        <f>VLOOKUP(Port_Optimization_001[[#This Row],[POL CODE]],POL!F:H,3,0)</f>
        <v>lF23NVeEnJTbYGRyP11WaA%253D%253D</v>
      </c>
      <c r="I250" s="1" t="str">
        <f>_xlfn.IFNA(VLOOKUP(Port_Optimization_001[[#This Row],[POD CODE]],POD!F:H,3,0),"")</f>
        <v>RHiB9uH2veEacXFy%252F4no2w%253D%253D</v>
      </c>
    </row>
    <row r="251" spans="1:9" x14ac:dyDescent="0.3">
      <c r="A251" s="1" t="s">
        <v>1483</v>
      </c>
      <c r="B251" s="1" t="s">
        <v>1473</v>
      </c>
      <c r="C251" s="1" t="str">
        <f t="shared" si="6"/>
        <v>CNSHA</v>
      </c>
      <c r="D251" s="1" t="str">
        <f t="shared" si="7"/>
        <v>TWTXG</v>
      </c>
      <c r="E25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https://www.weiyun001.com/routePort?st=lF23NVeEnJTbYGRyP11WaA%253D%253D&amp;de=ff8VYnnCdFQRVUSWGUZoBA%253D%253D&amp;rg=lF23NVeEnJTbYGRyP11WaA%253D%253D&amp;rt=Ha4nmfNgPHgKMiB9XpJc%252Bg%253D%253D</v>
      </c>
      <c r="F251" s="1" t="str">
        <f>VLOOKUP(Port_Optimization_001[[#This Row],[POL CODE]],POL!F:H,2,0)</f>
        <v>lF23NVeEnJTbYGRyP11WaA%253D%253D</v>
      </c>
      <c r="G251" s="1" t="str">
        <f>_xlfn.IFNA(VLOOKUP(Port_Optimization_001[[#This Row],[POD CODE]],POD!F:H,2,0),"")</f>
        <v>ff8VYnnCdFQRVUSWGUZoBA%253D%253D</v>
      </c>
      <c r="H251" s="1" t="str">
        <f>VLOOKUP(Port_Optimization_001[[#This Row],[POL CODE]],POL!F:H,3,0)</f>
        <v>lF23NVeEnJTbYGRyP11WaA%253D%253D</v>
      </c>
      <c r="I251" s="1" t="str">
        <f>_xlfn.IFNA(VLOOKUP(Port_Optimization_001[[#This Row],[POD CODE]],POD!F:H,3,0),"")</f>
        <v>Ha4nmfNgPHgKMiB9XpJc%252Bg%253D%253D</v>
      </c>
    </row>
    <row r="252" spans="1:9" x14ac:dyDescent="0.3">
      <c r="A252" s="1" t="s">
        <v>1483</v>
      </c>
      <c r="B252" s="1" t="s">
        <v>1433</v>
      </c>
      <c r="C252" s="1" t="str">
        <f t="shared" si="6"/>
        <v>CNSHA</v>
      </c>
      <c r="D252" s="1" t="str">
        <f t="shared" si="7"/>
        <v>KRINC</v>
      </c>
      <c r="E25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https://www.weiyun001.com/routePort?st=lF23NVeEnJTbYGRyP11WaA%253D%253D&amp;de=2UAI1gOlHKk%252FIsLwoS%252Fqdw%253D%253D&amp;rg=lF23NVeEnJTbYGRyP11WaA%253D%253D&amp;rt=KylH8Pr1ynXpbeNIUggL%252FQ%253D%253D</v>
      </c>
      <c r="F252" s="1" t="str">
        <f>VLOOKUP(Port_Optimization_001[[#This Row],[POL CODE]],POL!F:H,2,0)</f>
        <v>lF23NVeEnJTbYGRyP11WaA%253D%253D</v>
      </c>
      <c r="G252" s="1" t="str">
        <f>_xlfn.IFNA(VLOOKUP(Port_Optimization_001[[#This Row],[POD CODE]],POD!F:H,2,0),"")</f>
        <v>2UAI1gOlHKk%252FIsLwoS%252Fqdw%253D%253D</v>
      </c>
      <c r="H252" s="1" t="str">
        <f>VLOOKUP(Port_Optimization_001[[#This Row],[POL CODE]],POL!F:H,3,0)</f>
        <v>lF23NVeEnJTbYGRyP11WaA%253D%253D</v>
      </c>
      <c r="I252" s="1" t="str">
        <f>_xlfn.IFNA(VLOOKUP(Port_Optimization_001[[#This Row],[POD CODE]],POD!F:H,3,0),"")</f>
        <v>KylH8Pr1ynXpbeNIUggL%252FQ%253D%253D</v>
      </c>
    </row>
    <row r="253" spans="1:9" x14ac:dyDescent="0.3">
      <c r="A253" s="1" t="s">
        <v>1483</v>
      </c>
      <c r="B253" s="1" t="s">
        <v>1424</v>
      </c>
      <c r="C253" s="1" t="str">
        <f t="shared" si="6"/>
        <v>CNSHA</v>
      </c>
      <c r="D253" s="1" t="str">
        <f t="shared" si="7"/>
        <v>RUVVO</v>
      </c>
      <c r="E25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https://www.weiyun001.com/routePort?st=lF23NVeEnJTbYGRyP11WaA%253D%253D&amp;de=s0PPhkNj1tJW6BNaLsGHUw%253D%253D&amp;rg=lF23NVeEnJTbYGRyP11WaA%253D%253D&amp;rt=r8vdJELtQ6mqgPEUMkhs6w%253D%253D</v>
      </c>
      <c r="F253" s="1" t="str">
        <f>VLOOKUP(Port_Optimization_001[[#This Row],[POL CODE]],POL!F:H,2,0)</f>
        <v>lF23NVeEnJTbYGRyP11WaA%253D%253D</v>
      </c>
      <c r="G253" s="1" t="str">
        <f>_xlfn.IFNA(VLOOKUP(Port_Optimization_001[[#This Row],[POD CODE]],POD!F:H,2,0),"")</f>
        <v>s0PPhkNj1tJW6BNaLsGHUw%253D%253D</v>
      </c>
      <c r="H253" s="1" t="str">
        <f>VLOOKUP(Port_Optimization_001[[#This Row],[POL CODE]],POL!F:H,3,0)</f>
        <v>lF23NVeEnJTbYGRyP11WaA%253D%253D</v>
      </c>
      <c r="I253" s="1" t="str">
        <f>_xlfn.IFNA(VLOOKUP(Port_Optimization_001[[#This Row],[POD CODE]],POD!F:H,3,0),"")</f>
        <v>r8vdJELtQ6mqgPEUMkhs6w%253D%253D</v>
      </c>
    </row>
    <row r="254" spans="1:9" x14ac:dyDescent="0.3">
      <c r="A254" s="1" t="s">
        <v>1483</v>
      </c>
      <c r="B254" s="1" t="s">
        <v>1419</v>
      </c>
      <c r="C254" s="1" t="str">
        <f t="shared" si="6"/>
        <v>CNSHA</v>
      </c>
      <c r="D254" s="1" t="str">
        <f t="shared" si="7"/>
        <v>JPHTD</v>
      </c>
      <c r="E25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https://www.weiyun001.com/routePort?st=lF23NVeEnJTbYGRyP11WaA%253D%253D&amp;de=SW6Np5wmifEHSbIFC4MFyg%253D%253D&amp;rg=lF23NVeEnJTbYGRyP11WaA%253D%253D&amp;rt=RHiB9uH2veEacXFy%252F4no2w%253D%253D</v>
      </c>
      <c r="F254" s="1" t="str">
        <f>VLOOKUP(Port_Optimization_001[[#This Row],[POL CODE]],POL!F:H,2,0)</f>
        <v>lF23NVeEnJTbYGRyP11WaA%253D%253D</v>
      </c>
      <c r="G254" s="1" t="str">
        <f>_xlfn.IFNA(VLOOKUP(Port_Optimization_001[[#This Row],[POD CODE]],POD!F:H,2,0),"")</f>
        <v>SW6Np5wmifEHSbIFC4MFyg%253D%253D</v>
      </c>
      <c r="H254" s="1" t="str">
        <f>VLOOKUP(Port_Optimization_001[[#This Row],[POL CODE]],POL!F:H,3,0)</f>
        <v>lF23NVeEnJTbYGRyP11WaA%253D%253D</v>
      </c>
      <c r="I254" s="1" t="str">
        <f>_xlfn.IFNA(VLOOKUP(Port_Optimization_001[[#This Row],[POD CODE]],POD!F:H,3,0),"")</f>
        <v>RHiB9uH2veEacXFy%252F4no2w%253D%253D</v>
      </c>
    </row>
    <row r="255" spans="1:9" x14ac:dyDescent="0.3">
      <c r="A255" s="1" t="s">
        <v>1483</v>
      </c>
      <c r="B255" s="1" t="s">
        <v>1474</v>
      </c>
      <c r="C255" s="1" t="str">
        <f t="shared" si="6"/>
        <v>CNSHA</v>
      </c>
      <c r="D255" s="1" t="str">
        <f t="shared" si="7"/>
        <v>JPNGO</v>
      </c>
      <c r="E25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https://www.weiyun001.com/routePort?st=lF23NVeEnJTbYGRyP11WaA%253D%253D&amp;de=dbUO0BqxQw4h0hqlxw8ukw%253D%253D&amp;rg=lF23NVeEnJTbYGRyP11WaA%253D%253D&amp;rt=RHiB9uH2veEacXFy%252F4no2w%253D%253D</v>
      </c>
      <c r="F255" s="1" t="str">
        <f>VLOOKUP(Port_Optimization_001[[#This Row],[POL CODE]],POL!F:H,2,0)</f>
        <v>lF23NVeEnJTbYGRyP11WaA%253D%253D</v>
      </c>
      <c r="G255" s="1" t="str">
        <f>_xlfn.IFNA(VLOOKUP(Port_Optimization_001[[#This Row],[POD CODE]],POD!F:H,2,0),"")</f>
        <v>dbUO0BqxQw4h0hqlxw8ukw%253D%253D</v>
      </c>
      <c r="H255" s="1" t="str">
        <f>VLOOKUP(Port_Optimization_001[[#This Row],[POL CODE]],POL!F:H,3,0)</f>
        <v>lF23NVeEnJTbYGRyP11WaA%253D%253D</v>
      </c>
      <c r="I255" s="1" t="str">
        <f>_xlfn.IFNA(VLOOKUP(Port_Optimization_001[[#This Row],[POD CODE]],POD!F:H,3,0),"")</f>
        <v>RHiB9uH2veEacXFy%252F4no2w%253D%253D</v>
      </c>
    </row>
    <row r="256" spans="1:9" x14ac:dyDescent="0.3">
      <c r="A256" s="1" t="s">
        <v>1483</v>
      </c>
      <c r="B256" s="1" t="s">
        <v>1426</v>
      </c>
      <c r="C256" s="1" t="str">
        <f t="shared" si="6"/>
        <v>CNSHA</v>
      </c>
      <c r="D256" s="1" t="str">
        <f t="shared" si="7"/>
        <v>JPOSA</v>
      </c>
      <c r="E25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https://www.weiyun001.com/routePort?st=lF23NVeEnJTbYGRyP11WaA%253D%253D&amp;de=3agd5gO2ul%252BbrT%252BGjjf0BQ%253D%253D&amp;rg=lF23NVeEnJTbYGRyP11WaA%253D%253D&amp;rt=RHiB9uH2veEacXFy%252F4no2w%253D%253D</v>
      </c>
      <c r="F256" s="1" t="str">
        <f>VLOOKUP(Port_Optimization_001[[#This Row],[POL CODE]],POL!F:H,2,0)</f>
        <v>lF23NVeEnJTbYGRyP11WaA%253D%253D</v>
      </c>
      <c r="G256" s="1" t="str">
        <f>_xlfn.IFNA(VLOOKUP(Port_Optimization_001[[#This Row],[POD CODE]],POD!F:H,2,0),"")</f>
        <v>3agd5gO2ul%252BbrT%252BGjjf0BQ%253D%253D</v>
      </c>
      <c r="H256" s="1" t="str">
        <f>VLOOKUP(Port_Optimization_001[[#This Row],[POL CODE]],POL!F:H,3,0)</f>
        <v>lF23NVeEnJTbYGRyP11WaA%253D%253D</v>
      </c>
      <c r="I256" s="1" t="str">
        <f>_xlfn.IFNA(VLOOKUP(Port_Optimization_001[[#This Row],[POD CODE]],POD!F:H,3,0),"")</f>
        <v>RHiB9uH2veEacXFy%252F4no2w%253D%253D</v>
      </c>
    </row>
    <row r="257" spans="1:9" x14ac:dyDescent="0.3">
      <c r="A257" s="1" t="s">
        <v>1483</v>
      </c>
      <c r="B257" s="1" t="s">
        <v>1490</v>
      </c>
      <c r="C257" s="1" t="str">
        <f t="shared" si="6"/>
        <v>CNSHA</v>
      </c>
      <c r="D257" s="1" t="str">
        <f t="shared" si="7"/>
        <v>JPFKY</v>
      </c>
      <c r="E25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https://www.weiyun001.com/routePort?st=lF23NVeEnJTbYGRyP11WaA%253D%253D&amp;de=pYedXNkKr1mBY5rOJMN3xw%253D%253D&amp;rg=lF23NVeEnJTbYGRyP11WaA%253D%253D&amp;rt=8qgsJj9tmT8zECAL0Nsagw%253D%253D</v>
      </c>
      <c r="F257" s="1" t="str">
        <f>VLOOKUP(Port_Optimization_001[[#This Row],[POL CODE]],POL!F:H,2,0)</f>
        <v>lF23NVeEnJTbYGRyP11WaA%253D%253D</v>
      </c>
      <c r="G257" s="1" t="str">
        <f>_xlfn.IFNA(VLOOKUP(Port_Optimization_001[[#This Row],[POD CODE]],POD!F:H,2,0),"")</f>
        <v>pYedXNkKr1mBY5rOJMN3xw%253D%253D</v>
      </c>
      <c r="H257" s="1" t="str">
        <f>VLOOKUP(Port_Optimization_001[[#This Row],[POL CODE]],POL!F:H,3,0)</f>
        <v>lF23NVeEnJTbYGRyP11WaA%253D%253D</v>
      </c>
      <c r="I257" s="1" t="str">
        <f>_xlfn.IFNA(VLOOKUP(Port_Optimization_001[[#This Row],[POD CODE]],POD!F:H,3,0),"")</f>
        <v>8qgsJj9tmT8zECAL0Nsagw%253D%253D</v>
      </c>
    </row>
    <row r="258" spans="1:9" x14ac:dyDescent="0.3">
      <c r="A258" s="1" t="s">
        <v>1483</v>
      </c>
      <c r="B258" s="1" t="s">
        <v>1427</v>
      </c>
      <c r="C258" s="1" t="str">
        <f t="shared" ref="C258:C320" si="8">IF(_xlfn.TEXTBEFORE(_xlfn.TEXTAFTER(A258,"|"),"|")="CNRZH","CNTAO",_xlfn.TEXTBEFORE(_xlfn.TEXTAFTER(A258,"|"),"|"))</f>
        <v>CNSHA</v>
      </c>
      <c r="D258" s="1" t="str">
        <f t="shared" ref="D258:D320" si="9">_xlfn.TEXTBEFORE(_xlfn.TEXTAFTER(B258,"|"),"|")</f>
        <v>KRPTK</v>
      </c>
      <c r="E25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https://www.weiyun001.com/routePort?st=lF23NVeEnJTbYGRyP11WaA%253D%253D&amp;de=Tys%252FnB5n00pQrc%252Fq9NrIJQ%253D%253D&amp;rg=lF23NVeEnJTbYGRyP11WaA%253D%253D&amp;rt=KylH8Pr1ynXpbeNIUggL%252FQ%253D%253D</v>
      </c>
      <c r="F258" s="1" t="str">
        <f>VLOOKUP(Port_Optimization_001[[#This Row],[POL CODE]],POL!F:H,2,0)</f>
        <v>lF23NVeEnJTbYGRyP11WaA%253D%253D</v>
      </c>
      <c r="G258" s="1" t="str">
        <f>_xlfn.IFNA(VLOOKUP(Port_Optimization_001[[#This Row],[POD CODE]],POD!F:H,2,0),"")</f>
        <v>Tys%252FnB5n00pQrc%252Fq9NrIJQ%253D%253D</v>
      </c>
      <c r="H258" s="1" t="str">
        <f>VLOOKUP(Port_Optimization_001[[#This Row],[POL CODE]],POL!F:H,3,0)</f>
        <v>lF23NVeEnJTbYGRyP11WaA%253D%253D</v>
      </c>
      <c r="I258" s="1" t="str">
        <f>_xlfn.IFNA(VLOOKUP(Port_Optimization_001[[#This Row],[POD CODE]],POD!F:H,3,0),"")</f>
        <v>KylH8Pr1ynXpbeNIUggL%252FQ%253D%253D</v>
      </c>
    </row>
    <row r="259" spans="1:9" x14ac:dyDescent="0.3">
      <c r="A259" s="1" t="s">
        <v>1483</v>
      </c>
      <c r="B259" s="1" t="s">
        <v>1480</v>
      </c>
      <c r="C259" s="1" t="str">
        <f t="shared" si="8"/>
        <v>CNSHA</v>
      </c>
      <c r="D259" s="1" t="str">
        <f t="shared" si="9"/>
        <v>JPTOY</v>
      </c>
      <c r="E25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https://www.weiyun001.com/routePort?st=lF23NVeEnJTbYGRyP11WaA%253D%253D&amp;de=D7QoB%252FZ15idD5nNWMdB6Mg%253D%253D&amp;rg=lF23NVeEnJTbYGRyP11WaA%253D%253D&amp;rt=8qgsJj9tmT8zECAL0Nsagw%253D%253D</v>
      </c>
      <c r="F259" s="1" t="str">
        <f>VLOOKUP(Port_Optimization_001[[#This Row],[POL CODE]],POL!F:H,2,0)</f>
        <v>lF23NVeEnJTbYGRyP11WaA%253D%253D</v>
      </c>
      <c r="G259" s="1" t="str">
        <f>_xlfn.IFNA(VLOOKUP(Port_Optimization_001[[#This Row],[POD CODE]],POD!F:H,2,0),"")</f>
        <v>D7QoB%252FZ15idD5nNWMdB6Mg%253D%253D</v>
      </c>
      <c r="H259" s="1" t="str">
        <f>VLOOKUP(Port_Optimization_001[[#This Row],[POL CODE]],POL!F:H,3,0)</f>
        <v>lF23NVeEnJTbYGRyP11WaA%253D%253D</v>
      </c>
      <c r="I259" s="1" t="str">
        <f>_xlfn.IFNA(VLOOKUP(Port_Optimization_001[[#This Row],[POD CODE]],POD!F:H,3,0),"")</f>
        <v>8qgsJj9tmT8zECAL0Nsagw%253D%253D</v>
      </c>
    </row>
    <row r="260" spans="1:9" x14ac:dyDescent="0.3">
      <c r="A260" s="1" t="s">
        <v>1491</v>
      </c>
      <c r="B260" s="1" t="s">
        <v>1444</v>
      </c>
      <c r="C260" s="1" t="str">
        <f t="shared" si="8"/>
        <v>CNTAC</v>
      </c>
      <c r="D260" s="1" t="str">
        <f t="shared" si="9"/>
        <v>RULED</v>
      </c>
      <c r="E26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https://www.weiyun001.com/routePort?st=ZPxtxhVaZJ5ASjrrhzsUew%253D%253D&amp;de=T%252FZH9vP3IKjVGd9%252B16d1gw%253D%253D&amp;rg=ZPxtxhVaZJ5ASjrrhzsUew%253D%253D&amp;rt=4LEC8reGgGb2C69AYY5Hqw%253D%253D</v>
      </c>
      <c r="F260" s="1" t="str">
        <f>VLOOKUP(Port_Optimization_001[[#This Row],[POL CODE]],POL!F:H,2,0)</f>
        <v>ZPxtxhVaZJ5ASjrrhzsUew%253D%253D</v>
      </c>
      <c r="G260" s="1" t="str">
        <f>_xlfn.IFNA(VLOOKUP(Port_Optimization_001[[#This Row],[POD CODE]],POD!F:H,2,0),"")</f>
        <v>T%252FZH9vP3IKjVGd9%252B16d1gw%253D%253D</v>
      </c>
      <c r="H260" s="1" t="str">
        <f>VLOOKUP(Port_Optimization_001[[#This Row],[POL CODE]],POL!F:H,3,0)</f>
        <v>ZPxtxhVaZJ5ASjrrhzsUew%253D%253D</v>
      </c>
      <c r="I260" s="1" t="str">
        <f>_xlfn.IFNA(VLOOKUP(Port_Optimization_001[[#This Row],[POD CODE]],POD!F:H,3,0),"")</f>
        <v>4LEC8reGgGb2C69AYY5Hqw%253D%253D</v>
      </c>
    </row>
    <row r="261" spans="1:9" x14ac:dyDescent="0.3">
      <c r="A261" s="1" t="s">
        <v>1491</v>
      </c>
      <c r="B261" s="1" t="s">
        <v>1401</v>
      </c>
      <c r="C261" s="1" t="str">
        <f t="shared" si="8"/>
        <v>CNTAC</v>
      </c>
      <c r="D261" s="1" t="str">
        <f t="shared" si="9"/>
        <v>TRIST</v>
      </c>
      <c r="E26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https://www.weiyun001.com/routePort?st=ZPxtxhVaZJ5ASjrrhzsUew%253D%253D&amp;de=CWZLcxB%252BS05YPBCXZF1ZGg%253D%253D&amp;rg=ZPxtxhVaZJ5ASjrrhzsUew%253D%253D&amp;rt=OWZDyLmv3WGtVP7oMbti8g%253D%253D</v>
      </c>
      <c r="F261" s="1" t="str">
        <f>VLOOKUP(Port_Optimization_001[[#This Row],[POL CODE]],POL!F:H,2,0)</f>
        <v>ZPxtxhVaZJ5ASjrrhzsUew%253D%253D</v>
      </c>
      <c r="G261" s="1" t="str">
        <f>_xlfn.IFNA(VLOOKUP(Port_Optimization_001[[#This Row],[POD CODE]],POD!F:H,2,0),"")</f>
        <v>CWZLcxB%252BS05YPBCXZF1ZGg%253D%253D</v>
      </c>
      <c r="H261" s="1" t="str">
        <f>VLOOKUP(Port_Optimization_001[[#This Row],[POL CODE]],POL!F:H,3,0)</f>
        <v>ZPxtxhVaZJ5ASjrrhzsUew%253D%253D</v>
      </c>
      <c r="I261" s="1" t="str">
        <f>_xlfn.IFNA(VLOOKUP(Port_Optimization_001[[#This Row],[POD CODE]],POD!F:H,3,0),"")</f>
        <v>OWZDyLmv3WGtVP7oMbti8g%253D%253D</v>
      </c>
    </row>
    <row r="262" spans="1:9" x14ac:dyDescent="0.3">
      <c r="A262" s="1" t="s">
        <v>1491</v>
      </c>
      <c r="B262" s="1" t="s">
        <v>1450</v>
      </c>
      <c r="C262" s="1" t="str">
        <f t="shared" si="8"/>
        <v>CNTAC</v>
      </c>
      <c r="D262" s="1" t="str">
        <f t="shared" si="9"/>
        <v>INMAA</v>
      </c>
      <c r="E26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https://www.weiyun001.com/routePort?st=ZPxtxhVaZJ5ASjrrhzsUew%253D%253D&amp;de=vO8vVJPTiBKbz9UAlx1vNQ%253D%253D&amp;rg=ZPxtxhVaZJ5ASjrrhzsUew%253D%253D&amp;rt=ZY9R0ulrUtfklWEEetRGPg%253D%253D</v>
      </c>
      <c r="F262" s="1" t="str">
        <f>VLOOKUP(Port_Optimization_001[[#This Row],[POL CODE]],POL!F:H,2,0)</f>
        <v>ZPxtxhVaZJ5ASjrrhzsUew%253D%253D</v>
      </c>
      <c r="G262" s="1" t="str">
        <f>_xlfn.IFNA(VLOOKUP(Port_Optimization_001[[#This Row],[POD CODE]],POD!F:H,2,0),"")</f>
        <v>vO8vVJPTiBKbz9UAlx1vNQ%253D%253D</v>
      </c>
      <c r="H262" s="1" t="str">
        <f>VLOOKUP(Port_Optimization_001[[#This Row],[POL CODE]],POL!F:H,3,0)</f>
        <v>ZPxtxhVaZJ5ASjrrhzsUew%253D%253D</v>
      </c>
      <c r="I262" s="1" t="str">
        <f>_xlfn.IFNA(VLOOKUP(Port_Optimization_001[[#This Row],[POD CODE]],POD!F:H,3,0),"")</f>
        <v>ZY9R0ulrUtfklWEEetRGPg%253D%253D</v>
      </c>
    </row>
    <row r="263" spans="1:9" x14ac:dyDescent="0.3">
      <c r="A263" s="1" t="s">
        <v>1491</v>
      </c>
      <c r="B263" s="1" t="s">
        <v>1402</v>
      </c>
      <c r="C263" s="1" t="str">
        <f t="shared" si="8"/>
        <v>CNTAC</v>
      </c>
      <c r="D263" s="1" t="str">
        <f t="shared" si="9"/>
        <v>INNSA</v>
      </c>
      <c r="E26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https://www.weiyun001.com/routePort?st=ZPxtxhVaZJ5ASjrrhzsUew%253D%253D&amp;de=jD0OvY0B6WYFRxQO7kBFtg%253D%253D&amp;rg=ZPxtxhVaZJ5ASjrrhzsUew%253D%253D&amp;rt=ZY9R0ulrUtfklWEEetRGPg%253D%253D</v>
      </c>
      <c r="F263" s="1" t="str">
        <f>VLOOKUP(Port_Optimization_001[[#This Row],[POL CODE]],POL!F:H,2,0)</f>
        <v>ZPxtxhVaZJ5ASjrrhzsUew%253D%253D</v>
      </c>
      <c r="G263" s="1" t="str">
        <f>_xlfn.IFNA(VLOOKUP(Port_Optimization_001[[#This Row],[POD CODE]],POD!F:H,2,0),"")</f>
        <v>jD0OvY0B6WYFRxQO7kBFtg%253D%253D</v>
      </c>
      <c r="H263" s="1" t="str">
        <f>VLOOKUP(Port_Optimization_001[[#This Row],[POL CODE]],POL!F:H,3,0)</f>
        <v>ZPxtxhVaZJ5ASjrrhzsUew%253D%253D</v>
      </c>
      <c r="I263" s="1" t="str">
        <f>_xlfn.IFNA(VLOOKUP(Port_Optimization_001[[#This Row],[POD CODE]],POD!F:H,3,0),"")</f>
        <v>ZY9R0ulrUtfklWEEetRGPg%253D%253D</v>
      </c>
    </row>
    <row r="264" spans="1:9" x14ac:dyDescent="0.3">
      <c r="A264" s="1" t="s">
        <v>1491</v>
      </c>
      <c r="B264" s="1" t="s">
        <v>1458</v>
      </c>
      <c r="C264" s="1" t="str">
        <f t="shared" si="8"/>
        <v>CNTAC</v>
      </c>
      <c r="D264" s="1" t="str">
        <f t="shared" si="9"/>
        <v>ZADUR</v>
      </c>
      <c r="E26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https://www.weiyun001.com/routePort?st=ZPxtxhVaZJ5ASjrrhzsUew%253D%253D&amp;de=u95MZzsr9eG2WvFJUQj%252Ffw%253D%253D&amp;rg=ZPxtxhVaZJ5ASjrrhzsUew%253D%253D&amp;rt=lvNGjfh1u3F8DS5kPLxDEQ%253D%253D</v>
      </c>
      <c r="F264" s="1" t="str">
        <f>VLOOKUP(Port_Optimization_001[[#This Row],[POL CODE]],POL!F:H,2,0)</f>
        <v>ZPxtxhVaZJ5ASjrrhzsUew%253D%253D</v>
      </c>
      <c r="G264" s="1" t="str">
        <f>_xlfn.IFNA(VLOOKUP(Port_Optimization_001[[#This Row],[POD CODE]],POD!F:H,2,0),"")</f>
        <v>u95MZzsr9eG2WvFJUQj%252Ffw%253D%253D</v>
      </c>
      <c r="H264" s="1" t="str">
        <f>VLOOKUP(Port_Optimization_001[[#This Row],[POL CODE]],POL!F:H,3,0)</f>
        <v>ZPxtxhVaZJ5ASjrrhzsUew%253D%253D</v>
      </c>
      <c r="I264" s="1" t="str">
        <f>_xlfn.IFNA(VLOOKUP(Port_Optimization_001[[#This Row],[POD CODE]],POD!F:H,3,0),"")</f>
        <v>lvNGjfh1u3F8DS5kPLxDEQ%253D%253D</v>
      </c>
    </row>
    <row r="265" spans="1:9" x14ac:dyDescent="0.3">
      <c r="A265" s="1" t="s">
        <v>1491</v>
      </c>
      <c r="B265" s="1" t="s">
        <v>1462</v>
      </c>
      <c r="C265" s="1" t="str">
        <f t="shared" si="8"/>
        <v>CNTAC</v>
      </c>
      <c r="D265" s="1" t="str">
        <f t="shared" si="9"/>
        <v>NGLOS</v>
      </c>
      <c r="E26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https://www.weiyun001.com/routePort?st=ZPxtxhVaZJ5ASjrrhzsUew%253D%253D&amp;de=NvZ0rL1fQetrGxk%252FGZRAXg%253D%253D&amp;rg=ZPxtxhVaZJ5ASjrrhzsUew%253D%253D&amp;rt=d4cKFtsNQdHrm3NULzwm1w%253D%253D</v>
      </c>
      <c r="F265" s="1" t="str">
        <f>VLOOKUP(Port_Optimization_001[[#This Row],[POL CODE]],POL!F:H,2,0)</f>
        <v>ZPxtxhVaZJ5ASjrrhzsUew%253D%253D</v>
      </c>
      <c r="G265" s="1" t="str">
        <f>_xlfn.IFNA(VLOOKUP(Port_Optimization_001[[#This Row],[POD CODE]],POD!F:H,2,0),"")</f>
        <v>NvZ0rL1fQetrGxk%252FGZRAXg%253D%253D</v>
      </c>
      <c r="H265" s="1" t="str">
        <f>VLOOKUP(Port_Optimization_001[[#This Row],[POL CODE]],POL!F:H,3,0)</f>
        <v>ZPxtxhVaZJ5ASjrrhzsUew%253D%253D</v>
      </c>
      <c r="I265" s="1" t="str">
        <f>_xlfn.IFNA(VLOOKUP(Port_Optimization_001[[#This Row],[POD CODE]],POD!F:H,3,0),"")</f>
        <v>d4cKFtsNQdHrm3NULzwm1w%253D%253D</v>
      </c>
    </row>
    <row r="266" spans="1:9" x14ac:dyDescent="0.3">
      <c r="A266" s="1" t="s">
        <v>1491</v>
      </c>
      <c r="B266" s="1" t="s">
        <v>1465</v>
      </c>
      <c r="C266" s="1" t="str">
        <f t="shared" si="8"/>
        <v>CNTAC</v>
      </c>
      <c r="D266" s="1" t="str">
        <f t="shared" si="9"/>
        <v>BRSSZ</v>
      </c>
      <c r="E26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https://www.weiyun001.com/routePort?st=ZPxtxhVaZJ5ASjrrhzsUew%253D%253D&amp;de=BdZ%252FtNPnUUWx6c7yvRrzUw%253D%253D&amp;rg=ZPxtxhVaZJ5ASjrrhzsUew%253D%253D&amp;rt=x61UdCRqU8mCaDHdssLZSg%253D%253D</v>
      </c>
      <c r="F266" s="1" t="str">
        <f>VLOOKUP(Port_Optimization_001[[#This Row],[POL CODE]],POL!F:H,2,0)</f>
        <v>ZPxtxhVaZJ5ASjrrhzsUew%253D%253D</v>
      </c>
      <c r="G266" s="1" t="str">
        <f>_xlfn.IFNA(VLOOKUP(Port_Optimization_001[[#This Row],[POD CODE]],POD!F:H,2,0),"")</f>
        <v>BdZ%252FtNPnUUWx6c7yvRrzUw%253D%253D</v>
      </c>
      <c r="H266" s="1" t="str">
        <f>VLOOKUP(Port_Optimization_001[[#This Row],[POL CODE]],POL!F:H,3,0)</f>
        <v>ZPxtxhVaZJ5ASjrrhzsUew%253D%253D</v>
      </c>
      <c r="I266" s="1" t="str">
        <f>_xlfn.IFNA(VLOOKUP(Port_Optimization_001[[#This Row],[POD CODE]],POD!F:H,3,0),"")</f>
        <v>x61UdCRqU8mCaDHdssLZSg%253D%253D</v>
      </c>
    </row>
    <row r="267" spans="1:9" x14ac:dyDescent="0.3">
      <c r="A267" s="1" t="s">
        <v>1491</v>
      </c>
      <c r="B267" s="1" t="s">
        <v>1467</v>
      </c>
      <c r="C267" s="1" t="str">
        <f t="shared" si="8"/>
        <v>CNTAC</v>
      </c>
      <c r="D267" s="1" t="str">
        <f t="shared" si="9"/>
        <v>AUBNE</v>
      </c>
      <c r="E26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https://www.weiyun001.com/routePort?st=ZPxtxhVaZJ5ASjrrhzsUew%253D%253D&amp;de=PFEPD9phugL4OCypgVW00A%253D%253D&amp;rg=ZPxtxhVaZJ5ASjrrhzsUew%253D%253D&amp;rt=o04TRiXb4TdXUQEl8c%252F4bQ%253D%253D</v>
      </c>
      <c r="F267" s="1" t="str">
        <f>VLOOKUP(Port_Optimization_001[[#This Row],[POL CODE]],POL!F:H,2,0)</f>
        <v>ZPxtxhVaZJ5ASjrrhzsUew%253D%253D</v>
      </c>
      <c r="G267" s="1" t="str">
        <f>_xlfn.IFNA(VLOOKUP(Port_Optimization_001[[#This Row],[POD CODE]],POD!F:H,2,0),"")</f>
        <v>PFEPD9phugL4OCypgVW00A%253D%253D</v>
      </c>
      <c r="H267" s="1" t="str">
        <f>VLOOKUP(Port_Optimization_001[[#This Row],[POL CODE]],POL!F:H,3,0)</f>
        <v>ZPxtxhVaZJ5ASjrrhzsUew%253D%253D</v>
      </c>
      <c r="I267" s="1" t="str">
        <f>_xlfn.IFNA(VLOOKUP(Port_Optimization_001[[#This Row],[POD CODE]],POD!F:H,3,0),"")</f>
        <v>o04TRiXb4TdXUQEl8c%252F4bQ%253D%253D</v>
      </c>
    </row>
    <row r="268" spans="1:9" x14ac:dyDescent="0.3">
      <c r="A268" s="1" t="s">
        <v>1491</v>
      </c>
      <c r="B268" s="1" t="s">
        <v>1492</v>
      </c>
      <c r="C268" s="1" t="str">
        <f t="shared" si="8"/>
        <v>CNTAC</v>
      </c>
      <c r="D268" s="1" t="str">
        <f t="shared" si="9"/>
        <v>AUPHE</v>
      </c>
      <c r="E26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https://www.weiyun001.com/routePort?st=ZPxtxhVaZJ5ASjrrhzsUew%253D%253D&amp;de=KGygUm%252FKajBrK1jas6WHlg%253D%253D&amp;rg=ZPxtxhVaZJ5ASjrrhzsUew%253D%253D&amp;rt=o04TRiXb4TdXUQEl8c%252F4bQ%253D%253D</v>
      </c>
      <c r="F268" s="1" t="str">
        <f>VLOOKUP(Port_Optimization_001[[#This Row],[POL CODE]],POL!F:H,2,0)</f>
        <v>ZPxtxhVaZJ5ASjrrhzsUew%253D%253D</v>
      </c>
      <c r="G268" s="1" t="str">
        <f>_xlfn.IFNA(VLOOKUP(Port_Optimization_001[[#This Row],[POD CODE]],POD!F:H,2,0),"")</f>
        <v>KGygUm%252FKajBrK1jas6WHlg%253D%253D</v>
      </c>
      <c r="H268" s="1" t="str">
        <f>VLOOKUP(Port_Optimization_001[[#This Row],[POL CODE]],POL!F:H,3,0)</f>
        <v>ZPxtxhVaZJ5ASjrrhzsUew%253D%253D</v>
      </c>
      <c r="I268" s="1" t="str">
        <f>_xlfn.IFNA(VLOOKUP(Port_Optimization_001[[#This Row],[POD CODE]],POD!F:H,3,0),"")</f>
        <v>o04TRiXb4TdXUQEl8c%252F4bQ%253D%253D</v>
      </c>
    </row>
    <row r="269" spans="1:9" x14ac:dyDescent="0.3">
      <c r="A269" s="1" t="s">
        <v>1491</v>
      </c>
      <c r="B269" s="1" t="s">
        <v>1407</v>
      </c>
      <c r="C269" s="1" t="str">
        <f t="shared" si="8"/>
        <v>CNTAC</v>
      </c>
      <c r="D269" s="1" t="str">
        <f t="shared" si="9"/>
        <v>VNHPH</v>
      </c>
      <c r="E26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https://www.weiyun001.com/routePort?st=ZPxtxhVaZJ5ASjrrhzsUew%253D%253D&amp;de=fJ71EUPe75vnyZvJ9cGHxg%253D%253D&amp;rg=ZPxtxhVaZJ5ASjrrhzsUew%253D%253D&amp;rt=NFL9cTznAaa4CBynkPs%252B6Q%253D%253D</v>
      </c>
      <c r="F269" s="1" t="str">
        <f>VLOOKUP(Port_Optimization_001[[#This Row],[POL CODE]],POL!F:H,2,0)</f>
        <v>ZPxtxhVaZJ5ASjrrhzsUew%253D%253D</v>
      </c>
      <c r="G269" s="1" t="str">
        <f>_xlfn.IFNA(VLOOKUP(Port_Optimization_001[[#This Row],[POD CODE]],POD!F:H,2,0),"")</f>
        <v>fJ71EUPe75vnyZvJ9cGHxg%253D%253D</v>
      </c>
      <c r="H269" s="1" t="str">
        <f>VLOOKUP(Port_Optimization_001[[#This Row],[POL CODE]],POL!F:H,3,0)</f>
        <v>ZPxtxhVaZJ5ASjrrhzsUew%253D%253D</v>
      </c>
      <c r="I269" s="1" t="str">
        <f>_xlfn.IFNA(VLOOKUP(Port_Optimization_001[[#This Row],[POD CODE]],POD!F:H,3,0),"")</f>
        <v>NFL9cTznAaa4CBynkPs%252B6Q%253D%253D</v>
      </c>
    </row>
    <row r="270" spans="1:9" x14ac:dyDescent="0.3">
      <c r="A270" s="1" t="s">
        <v>1491</v>
      </c>
      <c r="B270" s="1" t="s">
        <v>1404</v>
      </c>
      <c r="C270" s="1" t="str">
        <f t="shared" si="8"/>
        <v>CNTAC</v>
      </c>
      <c r="D270" s="1" t="str">
        <f t="shared" si="9"/>
        <v>VNSGN</v>
      </c>
      <c r="E27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https://www.weiyun001.com/routePort?st=ZPxtxhVaZJ5ASjrrhzsUew%253D%253D&amp;de=CVigZ03WwsIi3M4cUzX1IA%253D%253D&amp;rg=ZPxtxhVaZJ5ASjrrhzsUew%253D%253D&amp;rt=NFL9cTznAaa4CBynkPs%252B6Q%253D%253D</v>
      </c>
      <c r="F270" s="1" t="str">
        <f>VLOOKUP(Port_Optimization_001[[#This Row],[POL CODE]],POL!F:H,2,0)</f>
        <v>ZPxtxhVaZJ5ASjrrhzsUew%253D%253D</v>
      </c>
      <c r="G270" s="1" t="str">
        <f>_xlfn.IFNA(VLOOKUP(Port_Optimization_001[[#This Row],[POD CODE]],POD!F:H,2,0),"")</f>
        <v>CVigZ03WwsIi3M4cUzX1IA%253D%253D</v>
      </c>
      <c r="H270" s="1" t="str">
        <f>VLOOKUP(Port_Optimization_001[[#This Row],[POL CODE]],POL!F:H,3,0)</f>
        <v>ZPxtxhVaZJ5ASjrrhzsUew%253D%253D</v>
      </c>
      <c r="I270" s="1" t="str">
        <f>_xlfn.IFNA(VLOOKUP(Port_Optimization_001[[#This Row],[POD CODE]],POD!F:H,3,0),"")</f>
        <v>NFL9cTznAaa4CBynkPs%252B6Q%253D%253D</v>
      </c>
    </row>
    <row r="271" spans="1:9" x14ac:dyDescent="0.3">
      <c r="A271" s="1" t="s">
        <v>1491</v>
      </c>
      <c r="B271" s="1" t="s">
        <v>1408</v>
      </c>
      <c r="C271" s="1" t="str">
        <f t="shared" si="8"/>
        <v>CNTAC</v>
      </c>
      <c r="D271" s="1" t="str">
        <f t="shared" si="9"/>
        <v>THLCH</v>
      </c>
      <c r="E27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https://www.weiyun001.com/routePort?st=ZPxtxhVaZJ5ASjrrhzsUew%253D%253D&amp;de=OxmUlXWM%252FAUYd%252FPp1zlwDA%253D%253D&amp;rg=ZPxtxhVaZJ5ASjrrhzsUew%253D%253D&amp;rt=NFL9cTznAaa4CBynkPs%252B6Q%253D%253D</v>
      </c>
      <c r="F271" s="1" t="str">
        <f>VLOOKUP(Port_Optimization_001[[#This Row],[POL CODE]],POL!F:H,2,0)</f>
        <v>ZPxtxhVaZJ5ASjrrhzsUew%253D%253D</v>
      </c>
      <c r="G271" s="1" t="str">
        <f>_xlfn.IFNA(VLOOKUP(Port_Optimization_001[[#This Row],[POD CODE]],POD!F:H,2,0),"")</f>
        <v>OxmUlXWM%252FAUYd%252FPp1zlwDA%253D%253D</v>
      </c>
      <c r="H271" s="1" t="str">
        <f>VLOOKUP(Port_Optimization_001[[#This Row],[POL CODE]],POL!F:H,3,0)</f>
        <v>ZPxtxhVaZJ5ASjrrhzsUew%253D%253D</v>
      </c>
      <c r="I271" s="1" t="str">
        <f>_xlfn.IFNA(VLOOKUP(Port_Optimization_001[[#This Row],[POD CODE]],POD!F:H,3,0),"")</f>
        <v>NFL9cTznAaa4CBynkPs%252B6Q%253D%253D</v>
      </c>
    </row>
    <row r="272" spans="1:9" x14ac:dyDescent="0.3">
      <c r="A272" s="1" t="s">
        <v>1491</v>
      </c>
      <c r="B272" s="1" t="s">
        <v>1474</v>
      </c>
      <c r="C272" s="1" t="str">
        <f t="shared" si="8"/>
        <v>CNTAC</v>
      </c>
      <c r="D272" s="1" t="str">
        <f t="shared" si="9"/>
        <v>JPNGO</v>
      </c>
      <c r="E27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https://www.weiyun001.com/routePort?st=ZPxtxhVaZJ5ASjrrhzsUew%253D%253D&amp;de=dbUO0BqxQw4h0hqlxw8ukw%253D%253D&amp;rg=ZPxtxhVaZJ5ASjrrhzsUew%253D%253D&amp;rt=RHiB9uH2veEacXFy%252F4no2w%253D%253D</v>
      </c>
      <c r="F272" s="1" t="str">
        <f>VLOOKUP(Port_Optimization_001[[#This Row],[POL CODE]],POL!F:H,2,0)</f>
        <v>ZPxtxhVaZJ5ASjrrhzsUew%253D%253D</v>
      </c>
      <c r="G272" s="1" t="str">
        <f>_xlfn.IFNA(VLOOKUP(Port_Optimization_001[[#This Row],[POD CODE]],POD!F:H,2,0),"")</f>
        <v>dbUO0BqxQw4h0hqlxw8ukw%253D%253D</v>
      </c>
      <c r="H272" s="1" t="str">
        <f>VLOOKUP(Port_Optimization_001[[#This Row],[POL CODE]],POL!F:H,3,0)</f>
        <v>ZPxtxhVaZJ5ASjrrhzsUew%253D%253D</v>
      </c>
      <c r="I272" s="1" t="str">
        <f>_xlfn.IFNA(VLOOKUP(Port_Optimization_001[[#This Row],[POD CODE]],POD!F:H,3,0),"")</f>
        <v>RHiB9uH2veEacXFy%252F4no2w%253D%253D</v>
      </c>
    </row>
    <row r="273" spans="1:9" x14ac:dyDescent="0.3">
      <c r="A273" s="1" t="s">
        <v>1491</v>
      </c>
      <c r="B273" s="1" t="s">
        <v>1419</v>
      </c>
      <c r="C273" s="1" t="str">
        <f t="shared" si="8"/>
        <v>CNTAC</v>
      </c>
      <c r="D273" s="1" t="str">
        <f t="shared" si="9"/>
        <v>JPHTD</v>
      </c>
      <c r="E27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https://www.weiyun001.com/routePort?st=ZPxtxhVaZJ5ASjrrhzsUew%253D%253D&amp;de=SW6Np5wmifEHSbIFC4MFyg%253D%253D&amp;rg=ZPxtxhVaZJ5ASjrrhzsUew%253D%253D&amp;rt=RHiB9uH2veEacXFy%252F4no2w%253D%253D</v>
      </c>
      <c r="F273" s="1" t="str">
        <f>VLOOKUP(Port_Optimization_001[[#This Row],[POL CODE]],POL!F:H,2,0)</f>
        <v>ZPxtxhVaZJ5ASjrrhzsUew%253D%253D</v>
      </c>
      <c r="G273" s="1" t="str">
        <f>_xlfn.IFNA(VLOOKUP(Port_Optimization_001[[#This Row],[POD CODE]],POD!F:H,2,0),"")</f>
        <v>SW6Np5wmifEHSbIFC4MFyg%253D%253D</v>
      </c>
      <c r="H273" s="1" t="str">
        <f>VLOOKUP(Port_Optimization_001[[#This Row],[POL CODE]],POL!F:H,3,0)</f>
        <v>ZPxtxhVaZJ5ASjrrhzsUew%253D%253D</v>
      </c>
      <c r="I273" s="1" t="str">
        <f>_xlfn.IFNA(VLOOKUP(Port_Optimization_001[[#This Row],[POD CODE]],POD!F:H,3,0),"")</f>
        <v>RHiB9uH2veEacXFy%252F4no2w%253D%253D</v>
      </c>
    </row>
    <row r="274" spans="1:9" x14ac:dyDescent="0.3">
      <c r="A274" s="1" t="s">
        <v>1491</v>
      </c>
      <c r="B274" s="1" t="s">
        <v>1433</v>
      </c>
      <c r="C274" s="1" t="str">
        <f t="shared" si="8"/>
        <v>CNTAC</v>
      </c>
      <c r="D274" s="1" t="str">
        <f t="shared" si="9"/>
        <v>KRINC</v>
      </c>
      <c r="E27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https://www.weiyun001.com/routePort?st=ZPxtxhVaZJ5ASjrrhzsUew%253D%253D&amp;de=2UAI1gOlHKk%252FIsLwoS%252Fqdw%253D%253D&amp;rg=ZPxtxhVaZJ5ASjrrhzsUew%253D%253D&amp;rt=KylH8Pr1ynXpbeNIUggL%252FQ%253D%253D</v>
      </c>
      <c r="F274" s="1" t="str">
        <f>VLOOKUP(Port_Optimization_001[[#This Row],[POL CODE]],POL!F:H,2,0)</f>
        <v>ZPxtxhVaZJ5ASjrrhzsUew%253D%253D</v>
      </c>
      <c r="G274" s="1" t="str">
        <f>_xlfn.IFNA(VLOOKUP(Port_Optimization_001[[#This Row],[POD CODE]],POD!F:H,2,0),"")</f>
        <v>2UAI1gOlHKk%252FIsLwoS%252Fqdw%253D%253D</v>
      </c>
      <c r="H274" s="1" t="str">
        <f>VLOOKUP(Port_Optimization_001[[#This Row],[POL CODE]],POL!F:H,3,0)</f>
        <v>ZPxtxhVaZJ5ASjrrhzsUew%253D%253D</v>
      </c>
      <c r="I274" s="1" t="str">
        <f>_xlfn.IFNA(VLOOKUP(Port_Optimization_001[[#This Row],[POD CODE]],POD!F:H,3,0),"")</f>
        <v>KylH8Pr1ynXpbeNIUggL%252FQ%253D%253D</v>
      </c>
    </row>
    <row r="275" spans="1:9" x14ac:dyDescent="0.3">
      <c r="A275" s="1" t="s">
        <v>1491</v>
      </c>
      <c r="B275" s="1" t="s">
        <v>1427</v>
      </c>
      <c r="C275" s="1" t="str">
        <f t="shared" si="8"/>
        <v>CNTAC</v>
      </c>
      <c r="D275" s="1" t="str">
        <f t="shared" si="9"/>
        <v>KRPTK</v>
      </c>
      <c r="E27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https://www.weiyun001.com/routePort?st=ZPxtxhVaZJ5ASjrrhzsUew%253D%253D&amp;de=Tys%252FnB5n00pQrc%252Fq9NrIJQ%253D%253D&amp;rg=ZPxtxhVaZJ5ASjrrhzsUew%253D%253D&amp;rt=KylH8Pr1ynXpbeNIUggL%252FQ%253D%253D</v>
      </c>
      <c r="F275" s="1" t="str">
        <f>VLOOKUP(Port_Optimization_001[[#This Row],[POL CODE]],POL!F:H,2,0)</f>
        <v>ZPxtxhVaZJ5ASjrrhzsUew%253D%253D</v>
      </c>
      <c r="G275" s="1" t="str">
        <f>_xlfn.IFNA(VLOOKUP(Port_Optimization_001[[#This Row],[POD CODE]],POD!F:H,2,0),"")</f>
        <v>Tys%252FnB5n00pQrc%252Fq9NrIJQ%253D%253D</v>
      </c>
      <c r="H275" s="1" t="str">
        <f>VLOOKUP(Port_Optimization_001[[#This Row],[POL CODE]],POL!F:H,3,0)</f>
        <v>ZPxtxhVaZJ5ASjrrhzsUew%253D%253D</v>
      </c>
      <c r="I275" s="1" t="str">
        <f>_xlfn.IFNA(VLOOKUP(Port_Optimization_001[[#This Row],[POD CODE]],POD!F:H,3,0),"")</f>
        <v>KylH8Pr1ynXpbeNIUggL%252FQ%253D%253D</v>
      </c>
    </row>
    <row r="276" spans="1:9" x14ac:dyDescent="0.3">
      <c r="A276" s="1" t="s">
        <v>1491</v>
      </c>
      <c r="B276" s="1" t="s">
        <v>1421</v>
      </c>
      <c r="C276" s="1" t="str">
        <f t="shared" si="8"/>
        <v>CNTAC</v>
      </c>
      <c r="D276" s="1" t="str">
        <f t="shared" si="9"/>
        <v>TWKHH</v>
      </c>
      <c r="E27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https://www.weiyun001.com/routePort?st=ZPxtxhVaZJ5ASjrrhzsUew%253D%253D&amp;de=Vjyg7XTarHY%252B0lksvtw%252F7A%253D%253D&amp;rg=ZPxtxhVaZJ5ASjrrhzsUew%253D%253D&amp;rt=Ha4nmfNgPHgKMiB9XpJc%252Bg%253D%253D</v>
      </c>
      <c r="F276" s="1" t="str">
        <f>VLOOKUP(Port_Optimization_001[[#This Row],[POL CODE]],POL!F:H,2,0)</f>
        <v>ZPxtxhVaZJ5ASjrrhzsUew%253D%253D</v>
      </c>
      <c r="G276" s="1" t="str">
        <f>_xlfn.IFNA(VLOOKUP(Port_Optimization_001[[#This Row],[POD CODE]],POD!F:H,2,0),"")</f>
        <v>Vjyg7XTarHY%252B0lksvtw%252F7A%253D%253D</v>
      </c>
      <c r="H276" s="1" t="str">
        <f>VLOOKUP(Port_Optimization_001[[#This Row],[POL CODE]],POL!F:H,3,0)</f>
        <v>ZPxtxhVaZJ5ASjrrhzsUew%253D%253D</v>
      </c>
      <c r="I276" s="1" t="str">
        <f>_xlfn.IFNA(VLOOKUP(Port_Optimization_001[[#This Row],[POD CODE]],POD!F:H,3,0),"")</f>
        <v>Ha4nmfNgPHgKMiB9XpJc%252Bg%253D%253D</v>
      </c>
    </row>
    <row r="277" spans="1:9" x14ac:dyDescent="0.3">
      <c r="A277" s="1" t="s">
        <v>1493</v>
      </c>
      <c r="B277" s="1" t="s">
        <v>1436</v>
      </c>
      <c r="C277" s="1" t="str">
        <f t="shared" si="8"/>
        <v>CNTXG</v>
      </c>
      <c r="D277" s="1" t="str">
        <f t="shared" si="9"/>
        <v>USLAX</v>
      </c>
      <c r="E27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https://www.weiyun001.com/routePort?st=9vlbrGDCGWoPotdwnakh4g%253D%253D&amp;de=iwosRMDzfh0L9To05g8QbQ%253D%253D&amp;rg=9vlbrGDCGWoPotdwnakh4g%253D%253D&amp;rt=uCIAr5lckiHGmGe0VyVVkw%253D%253D</v>
      </c>
      <c r="F277" s="1" t="str">
        <f>VLOOKUP(Port_Optimization_001[[#This Row],[POL CODE]],POL!F:H,2,0)</f>
        <v>9vlbrGDCGWoPotdwnakh4g%253D%253D</v>
      </c>
      <c r="G277" s="1" t="str">
        <f>_xlfn.IFNA(VLOOKUP(Port_Optimization_001[[#This Row],[POD CODE]],POD!F:H,2,0),"")</f>
        <v>iwosRMDzfh0L9To05g8QbQ%253D%253D</v>
      </c>
      <c r="H277" s="1" t="str">
        <f>VLOOKUP(Port_Optimization_001[[#This Row],[POL CODE]],POL!F:H,3,0)</f>
        <v>9vlbrGDCGWoPotdwnakh4g%253D%253D</v>
      </c>
      <c r="I277" s="1" t="str">
        <f>_xlfn.IFNA(VLOOKUP(Port_Optimization_001[[#This Row],[POD CODE]],POD!F:H,3,0),"")</f>
        <v>uCIAr5lckiHGmGe0VyVVkw%253D%253D</v>
      </c>
    </row>
    <row r="278" spans="1:9" x14ac:dyDescent="0.3">
      <c r="A278" s="1" t="s">
        <v>1493</v>
      </c>
      <c r="B278" s="1" t="s">
        <v>1435</v>
      </c>
      <c r="C278" s="1" t="str">
        <f t="shared" si="8"/>
        <v>CNTXG</v>
      </c>
      <c r="D278" s="1" t="str">
        <f t="shared" si="9"/>
        <v>USLGB</v>
      </c>
      <c r="E27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https://www.weiyun001.com/routePort?st=9vlbrGDCGWoPotdwnakh4g%253D%253D&amp;de=S9X4TMR2ncdJuyYiyqnbig%253D%253D&amp;rg=9vlbrGDCGWoPotdwnakh4g%253D%253D&amp;rt=uCIAr5lckiHGmGe0VyVVkw%253D%253D</v>
      </c>
      <c r="F278" s="1" t="str">
        <f>VLOOKUP(Port_Optimization_001[[#This Row],[POL CODE]],POL!F:H,2,0)</f>
        <v>9vlbrGDCGWoPotdwnakh4g%253D%253D</v>
      </c>
      <c r="G278" s="1" t="str">
        <f>_xlfn.IFNA(VLOOKUP(Port_Optimization_001[[#This Row],[POD CODE]],POD!F:H,2,0),"")</f>
        <v>S9X4TMR2ncdJuyYiyqnbig%253D%253D</v>
      </c>
      <c r="H278" s="1" t="str">
        <f>VLOOKUP(Port_Optimization_001[[#This Row],[POL CODE]],POL!F:H,3,0)</f>
        <v>9vlbrGDCGWoPotdwnakh4g%253D%253D</v>
      </c>
      <c r="I278" s="1" t="str">
        <f>_xlfn.IFNA(VLOOKUP(Port_Optimization_001[[#This Row],[POD CODE]],POD!F:H,3,0),"")</f>
        <v>uCIAr5lckiHGmGe0VyVVkw%253D%253D</v>
      </c>
    </row>
    <row r="279" spans="1:9" x14ac:dyDescent="0.3">
      <c r="A279" s="1" t="s">
        <v>1493</v>
      </c>
      <c r="B279" s="1" t="s">
        <v>1441</v>
      </c>
      <c r="C279" s="1" t="str">
        <f t="shared" si="8"/>
        <v>CNTXG</v>
      </c>
      <c r="D279" s="1" t="str">
        <f t="shared" si="9"/>
        <v>USNYC</v>
      </c>
      <c r="E27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https://www.weiyun001.com/routePort?st=9vlbrGDCGWoPotdwnakh4g%253D%253D&amp;de=SMCumFXp2sN6a1GTH%252F2okQ%253D%253D&amp;rg=9vlbrGDCGWoPotdwnakh4g%253D%253D&amp;rt=2iP9zD499VuttWpU6DlwqA%253D%253D</v>
      </c>
      <c r="F279" s="1" t="str">
        <f>VLOOKUP(Port_Optimization_001[[#This Row],[POL CODE]],POL!F:H,2,0)</f>
        <v>9vlbrGDCGWoPotdwnakh4g%253D%253D</v>
      </c>
      <c r="G279" s="1" t="str">
        <f>_xlfn.IFNA(VLOOKUP(Port_Optimization_001[[#This Row],[POD CODE]],POD!F:H,2,0),"")</f>
        <v>SMCumFXp2sN6a1GTH%252F2okQ%253D%253D</v>
      </c>
      <c r="H279" s="1" t="str">
        <f>VLOOKUP(Port_Optimization_001[[#This Row],[POL CODE]],POL!F:H,3,0)</f>
        <v>9vlbrGDCGWoPotdwnakh4g%253D%253D</v>
      </c>
      <c r="I279" s="1" t="str">
        <f>_xlfn.IFNA(VLOOKUP(Port_Optimization_001[[#This Row],[POD CODE]],POD!F:H,3,0),"")</f>
        <v>2iP9zD499VuttWpU6DlwqA%253D%253D</v>
      </c>
    </row>
    <row r="280" spans="1:9" x14ac:dyDescent="0.3">
      <c r="A280" s="1" t="s">
        <v>1493</v>
      </c>
      <c r="B280" s="1" t="s">
        <v>1442</v>
      </c>
      <c r="C280" s="1" t="str">
        <f t="shared" si="8"/>
        <v>CNTXG</v>
      </c>
      <c r="D280" s="1" t="str">
        <f t="shared" si="9"/>
        <v>CAPRR</v>
      </c>
      <c r="E28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https://www.weiyun001.com/routePort?st=9vlbrGDCGWoPotdwnakh4g%253D%253D&amp;de=QFhu1BLIxJ9f0F5WJSPNxA%253D%253D&amp;rg=9vlbrGDCGWoPotdwnakh4g%253D%253D&amp;rt=ngG2%252FjG4NlHb5ZGdAHVP4g%253D%253D</v>
      </c>
      <c r="F280" s="1" t="str">
        <f>VLOOKUP(Port_Optimization_001[[#This Row],[POL CODE]],POL!F:H,2,0)</f>
        <v>9vlbrGDCGWoPotdwnakh4g%253D%253D</v>
      </c>
      <c r="G280" s="1" t="str">
        <f>_xlfn.IFNA(VLOOKUP(Port_Optimization_001[[#This Row],[POD CODE]],POD!F:H,2,0),"")</f>
        <v>QFhu1BLIxJ9f0F5WJSPNxA%253D%253D</v>
      </c>
      <c r="H280" s="1" t="str">
        <f>VLOOKUP(Port_Optimization_001[[#This Row],[POL CODE]],POL!F:H,3,0)</f>
        <v>9vlbrGDCGWoPotdwnakh4g%253D%253D</v>
      </c>
      <c r="I280" s="1" t="str">
        <f>_xlfn.IFNA(VLOOKUP(Port_Optimization_001[[#This Row],[POD CODE]],POD!F:H,3,0),"")</f>
        <v>ngG2%252FjG4NlHb5ZGdAHVP4g%253D%253D</v>
      </c>
    </row>
    <row r="281" spans="1:9" x14ac:dyDescent="0.3">
      <c r="A281" s="1" t="s">
        <v>1493</v>
      </c>
      <c r="B281" s="1" t="s">
        <v>1398</v>
      </c>
      <c r="C281" s="1" t="str">
        <f t="shared" si="8"/>
        <v>CNTXG</v>
      </c>
      <c r="D281" s="1" t="str">
        <f t="shared" si="9"/>
        <v>MXZLO</v>
      </c>
      <c r="E28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https://www.weiyun001.com/routePort?st=9vlbrGDCGWoPotdwnakh4g%253D%253D&amp;de=2Hr1qa96pxp8yXraB9fpQw%253D%253D&amp;rg=9vlbrGDCGWoPotdwnakh4g%253D%253D&amp;rt=gR2po4rysa6ynGuDnPrqMA%253D%253D</v>
      </c>
      <c r="F281" s="1" t="str">
        <f>VLOOKUP(Port_Optimization_001[[#This Row],[POL CODE]],POL!F:H,2,0)</f>
        <v>9vlbrGDCGWoPotdwnakh4g%253D%253D</v>
      </c>
      <c r="G281" s="1" t="str">
        <f>_xlfn.IFNA(VLOOKUP(Port_Optimization_001[[#This Row],[POD CODE]],POD!F:H,2,0),"")</f>
        <v>2Hr1qa96pxp8yXraB9fpQw%253D%253D</v>
      </c>
      <c r="H281" s="1" t="str">
        <f>VLOOKUP(Port_Optimization_001[[#This Row],[POL CODE]],POL!F:H,3,0)</f>
        <v>9vlbrGDCGWoPotdwnakh4g%253D%253D</v>
      </c>
      <c r="I281" s="1" t="str">
        <f>_xlfn.IFNA(VLOOKUP(Port_Optimization_001[[#This Row],[POD CODE]],POD!F:H,3,0),"")</f>
        <v>gR2po4rysa6ynGuDnPrqMA%253D%253D</v>
      </c>
    </row>
    <row r="282" spans="1:9" x14ac:dyDescent="0.3">
      <c r="A282" s="1" t="s">
        <v>1493</v>
      </c>
      <c r="B282" s="1" t="s">
        <v>1444</v>
      </c>
      <c r="C282" s="1" t="str">
        <f t="shared" si="8"/>
        <v>CNTXG</v>
      </c>
      <c r="D282" s="1" t="str">
        <f t="shared" si="9"/>
        <v>RULED</v>
      </c>
      <c r="E28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https://www.weiyun001.com/routePort?st=9vlbrGDCGWoPotdwnakh4g%253D%253D&amp;de=T%252FZH9vP3IKjVGd9%252B16d1gw%253D%253D&amp;rg=9vlbrGDCGWoPotdwnakh4g%253D%253D&amp;rt=4LEC8reGgGb2C69AYY5Hqw%253D%253D</v>
      </c>
      <c r="F282" s="1" t="str">
        <f>VLOOKUP(Port_Optimization_001[[#This Row],[POL CODE]],POL!F:H,2,0)</f>
        <v>9vlbrGDCGWoPotdwnakh4g%253D%253D</v>
      </c>
      <c r="G282" s="1" t="str">
        <f>_xlfn.IFNA(VLOOKUP(Port_Optimization_001[[#This Row],[POD CODE]],POD!F:H,2,0),"")</f>
        <v>T%252FZH9vP3IKjVGd9%252B16d1gw%253D%253D</v>
      </c>
      <c r="H282" s="1" t="str">
        <f>VLOOKUP(Port_Optimization_001[[#This Row],[POL CODE]],POL!F:H,3,0)</f>
        <v>9vlbrGDCGWoPotdwnakh4g%253D%253D</v>
      </c>
      <c r="I282" s="1" t="str">
        <f>_xlfn.IFNA(VLOOKUP(Port_Optimization_001[[#This Row],[POD CODE]],POD!F:H,3,0),"")</f>
        <v>4LEC8reGgGb2C69AYY5Hqw%253D%253D</v>
      </c>
    </row>
    <row r="283" spans="1:9" x14ac:dyDescent="0.3">
      <c r="A283" s="1" t="s">
        <v>1493</v>
      </c>
      <c r="B283" s="1" t="s">
        <v>1399</v>
      </c>
      <c r="C283" s="1" t="str">
        <f t="shared" si="8"/>
        <v>CNTXG</v>
      </c>
      <c r="D283" s="1" t="str">
        <f t="shared" si="9"/>
        <v>GBFXT</v>
      </c>
      <c r="E28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https://www.weiyun001.com/routePort?st=9vlbrGDCGWoPotdwnakh4g%253D%253D&amp;de=lyIBtN5jVeYlTjYD7kLYaQ%253D%253D&amp;rg=9vlbrGDCGWoPotdwnakh4g%253D%253D&amp;rt=IV85J0mX0Segto%252FH4Zk5Tg%253D%253D</v>
      </c>
      <c r="F283" s="1" t="str">
        <f>VLOOKUP(Port_Optimization_001[[#This Row],[POL CODE]],POL!F:H,2,0)</f>
        <v>9vlbrGDCGWoPotdwnakh4g%253D%253D</v>
      </c>
      <c r="G283" s="1" t="str">
        <f>_xlfn.IFNA(VLOOKUP(Port_Optimization_001[[#This Row],[POD CODE]],POD!F:H,2,0),"")</f>
        <v>lyIBtN5jVeYlTjYD7kLYaQ%253D%253D</v>
      </c>
      <c r="H283" s="1" t="str">
        <f>VLOOKUP(Port_Optimization_001[[#This Row],[POL CODE]],POL!F:H,3,0)</f>
        <v>9vlbrGDCGWoPotdwnakh4g%253D%253D</v>
      </c>
      <c r="I283" s="1" t="str">
        <f>_xlfn.IFNA(VLOOKUP(Port_Optimization_001[[#This Row],[POD CODE]],POD!F:H,3,0),"")</f>
        <v>IV85J0mX0Segto%252FH4Zk5Tg%253D%253D</v>
      </c>
    </row>
    <row r="284" spans="1:9" x14ac:dyDescent="0.3">
      <c r="A284" s="1" t="s">
        <v>1493</v>
      </c>
      <c r="B284" s="1" t="s">
        <v>1400</v>
      </c>
      <c r="C284" s="1" t="str">
        <f t="shared" si="8"/>
        <v>CNTXG</v>
      </c>
      <c r="D284" s="1" t="str">
        <f t="shared" si="9"/>
        <v>NLRTM</v>
      </c>
      <c r="E28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https://www.weiyun001.com/routePort?st=9vlbrGDCGWoPotdwnakh4g%253D%253D&amp;de=h375AOSlvQCFgmjT%252F5HSqA%253D%253D&amp;rg=9vlbrGDCGWoPotdwnakh4g%253D%253D&amp;rt=IV85J0mX0Segto%252FH4Zk5Tg%253D%253D</v>
      </c>
      <c r="F284" s="1" t="str">
        <f>VLOOKUP(Port_Optimization_001[[#This Row],[POL CODE]],POL!F:H,2,0)</f>
        <v>9vlbrGDCGWoPotdwnakh4g%253D%253D</v>
      </c>
      <c r="G284" s="1" t="str">
        <f>_xlfn.IFNA(VLOOKUP(Port_Optimization_001[[#This Row],[POD CODE]],POD!F:H,2,0),"")</f>
        <v>h375AOSlvQCFgmjT%252F5HSqA%253D%253D</v>
      </c>
      <c r="H284" s="1" t="str">
        <f>VLOOKUP(Port_Optimization_001[[#This Row],[POL CODE]],POL!F:H,3,0)</f>
        <v>9vlbrGDCGWoPotdwnakh4g%253D%253D</v>
      </c>
      <c r="I284" s="1" t="str">
        <f>_xlfn.IFNA(VLOOKUP(Port_Optimization_001[[#This Row],[POD CODE]],POD!F:H,3,0),"")</f>
        <v>IV85J0mX0Segto%252FH4Zk5Tg%253D%253D</v>
      </c>
    </row>
    <row r="285" spans="1:9" x14ac:dyDescent="0.3">
      <c r="A285" s="1" t="s">
        <v>1493</v>
      </c>
      <c r="B285" s="1" t="s">
        <v>1401</v>
      </c>
      <c r="C285" s="1" t="str">
        <f t="shared" si="8"/>
        <v>CNTXG</v>
      </c>
      <c r="D285" s="1" t="str">
        <f t="shared" si="9"/>
        <v>TRIST</v>
      </c>
      <c r="E28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https://www.weiyun001.com/routePort?st=9vlbrGDCGWoPotdwnakh4g%253D%253D&amp;de=CWZLcxB%252BS05YPBCXZF1ZGg%253D%253D&amp;rg=9vlbrGDCGWoPotdwnakh4g%253D%253D&amp;rt=OWZDyLmv3WGtVP7oMbti8g%253D%253D</v>
      </c>
      <c r="F285" s="1" t="str">
        <f>VLOOKUP(Port_Optimization_001[[#This Row],[POL CODE]],POL!F:H,2,0)</f>
        <v>9vlbrGDCGWoPotdwnakh4g%253D%253D</v>
      </c>
      <c r="G285" s="1" t="str">
        <f>_xlfn.IFNA(VLOOKUP(Port_Optimization_001[[#This Row],[POD CODE]],POD!F:H,2,0),"")</f>
        <v>CWZLcxB%252BS05YPBCXZF1ZGg%253D%253D</v>
      </c>
      <c r="H285" s="1" t="str">
        <f>VLOOKUP(Port_Optimization_001[[#This Row],[POL CODE]],POL!F:H,3,0)</f>
        <v>9vlbrGDCGWoPotdwnakh4g%253D%253D</v>
      </c>
      <c r="I285" s="1" t="str">
        <f>_xlfn.IFNA(VLOOKUP(Port_Optimization_001[[#This Row],[POD CODE]],POD!F:H,3,0),"")</f>
        <v>OWZDyLmv3WGtVP7oMbti8g%253D%253D</v>
      </c>
    </row>
    <row r="286" spans="1:9" x14ac:dyDescent="0.3">
      <c r="A286" s="1" t="s">
        <v>1493</v>
      </c>
      <c r="B286" s="1" t="s">
        <v>1449</v>
      </c>
      <c r="C286" s="1" t="str">
        <f t="shared" si="8"/>
        <v>CNTXG</v>
      </c>
      <c r="D286" s="1" t="str">
        <f t="shared" si="9"/>
        <v>RUNVS</v>
      </c>
      <c r="E28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https://www.weiyun001.com/routePort?st=9vlbrGDCGWoPotdwnakh4g%253D%253D&amp;de=MmR%252BVr7P8VwdE9cXHcRoVA%253D%253D&amp;rg=9vlbrGDCGWoPotdwnakh4g%253D%253D&amp;rt=r8vdJELtQ6mqgPEUMkhs6w%253D%253D</v>
      </c>
      <c r="F286" s="1" t="str">
        <f>VLOOKUP(Port_Optimization_001[[#This Row],[POL CODE]],POL!F:H,2,0)</f>
        <v>9vlbrGDCGWoPotdwnakh4g%253D%253D</v>
      </c>
      <c r="G286" s="1" t="str">
        <f>_xlfn.IFNA(VLOOKUP(Port_Optimization_001[[#This Row],[POD CODE]],POD!F:H,2,0),"")</f>
        <v>MmR%252BVr7P8VwdE9cXHcRoVA%253D%253D</v>
      </c>
      <c r="H286" s="1" t="str">
        <f>VLOOKUP(Port_Optimization_001[[#This Row],[POL CODE]],POL!F:H,3,0)</f>
        <v>9vlbrGDCGWoPotdwnakh4g%253D%253D</v>
      </c>
      <c r="I286" s="1" t="str">
        <f>_xlfn.IFNA(VLOOKUP(Port_Optimization_001[[#This Row],[POD CODE]],POD!F:H,3,0),"")</f>
        <v>r8vdJELtQ6mqgPEUMkhs6w%253D%253D</v>
      </c>
    </row>
    <row r="287" spans="1:9" x14ac:dyDescent="0.3">
      <c r="A287" s="1" t="s">
        <v>1493</v>
      </c>
      <c r="B287" s="1" t="s">
        <v>1402</v>
      </c>
      <c r="C287" s="1" t="str">
        <f t="shared" si="8"/>
        <v>CNTXG</v>
      </c>
      <c r="D287" s="1" t="str">
        <f t="shared" si="9"/>
        <v>INNSA</v>
      </c>
      <c r="E28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https://www.weiyun001.com/routePort?st=9vlbrGDCGWoPotdwnakh4g%253D%253D&amp;de=jD0OvY0B6WYFRxQO7kBFtg%253D%253D&amp;rg=9vlbrGDCGWoPotdwnakh4g%253D%253D&amp;rt=ZY9R0ulrUtfklWEEetRGPg%253D%253D</v>
      </c>
      <c r="F287" s="1" t="str">
        <f>VLOOKUP(Port_Optimization_001[[#This Row],[POL CODE]],POL!F:H,2,0)</f>
        <v>9vlbrGDCGWoPotdwnakh4g%253D%253D</v>
      </c>
      <c r="G287" s="1" t="str">
        <f>_xlfn.IFNA(VLOOKUP(Port_Optimization_001[[#This Row],[POD CODE]],POD!F:H,2,0),"")</f>
        <v>jD0OvY0B6WYFRxQO7kBFtg%253D%253D</v>
      </c>
      <c r="H287" s="1" t="str">
        <f>VLOOKUP(Port_Optimization_001[[#This Row],[POL CODE]],POL!F:H,3,0)</f>
        <v>9vlbrGDCGWoPotdwnakh4g%253D%253D</v>
      </c>
      <c r="I287" s="1" t="str">
        <f>_xlfn.IFNA(VLOOKUP(Port_Optimization_001[[#This Row],[POD CODE]],POD!F:H,3,0),"")</f>
        <v>ZY9R0ulrUtfklWEEetRGPg%253D%253D</v>
      </c>
    </row>
    <row r="288" spans="1:9" x14ac:dyDescent="0.3">
      <c r="A288" s="1" t="s">
        <v>1493</v>
      </c>
      <c r="B288" s="1" t="s">
        <v>1450</v>
      </c>
      <c r="C288" s="1" t="str">
        <f t="shared" si="8"/>
        <v>CNTXG</v>
      </c>
      <c r="D288" s="1" t="str">
        <f t="shared" si="9"/>
        <v>INMAA</v>
      </c>
      <c r="E28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https://www.weiyun001.com/routePort?st=9vlbrGDCGWoPotdwnakh4g%253D%253D&amp;de=vO8vVJPTiBKbz9UAlx1vNQ%253D%253D&amp;rg=9vlbrGDCGWoPotdwnakh4g%253D%253D&amp;rt=ZY9R0ulrUtfklWEEetRGPg%253D%253D</v>
      </c>
      <c r="F288" s="1" t="str">
        <f>VLOOKUP(Port_Optimization_001[[#This Row],[POL CODE]],POL!F:H,2,0)</f>
        <v>9vlbrGDCGWoPotdwnakh4g%253D%253D</v>
      </c>
      <c r="G288" s="1" t="str">
        <f>_xlfn.IFNA(VLOOKUP(Port_Optimization_001[[#This Row],[POD CODE]],POD!F:H,2,0),"")</f>
        <v>vO8vVJPTiBKbz9UAlx1vNQ%253D%253D</v>
      </c>
      <c r="H288" s="1" t="str">
        <f>VLOOKUP(Port_Optimization_001[[#This Row],[POL CODE]],POL!F:H,3,0)</f>
        <v>9vlbrGDCGWoPotdwnakh4g%253D%253D</v>
      </c>
      <c r="I288" s="1" t="str">
        <f>_xlfn.IFNA(VLOOKUP(Port_Optimization_001[[#This Row],[POD CODE]],POD!F:H,3,0),"")</f>
        <v>ZY9R0ulrUtfklWEEetRGPg%253D%253D</v>
      </c>
    </row>
    <row r="289" spans="1:9" x14ac:dyDescent="0.3">
      <c r="A289" s="1" t="s">
        <v>1493</v>
      </c>
      <c r="B289" s="1" t="s">
        <v>1403</v>
      </c>
      <c r="C289" s="1" t="str">
        <f t="shared" si="8"/>
        <v>CNTXG</v>
      </c>
      <c r="D289" s="1" t="str">
        <f t="shared" si="9"/>
        <v>AEJEA</v>
      </c>
      <c r="E28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https://www.weiyun001.com/routePort?st=9vlbrGDCGWoPotdwnakh4g%253D%253D&amp;de=SbjTwb99PCeDQHDeZwEvvA%253D%253D&amp;rg=9vlbrGDCGWoPotdwnakh4g%253D%253D&amp;rt=nIJ3Uyv%252Bm7qB2PS5QvkN1A%253D%253D</v>
      </c>
      <c r="F289" s="1" t="str">
        <f>VLOOKUP(Port_Optimization_001[[#This Row],[POL CODE]],POL!F:H,2,0)</f>
        <v>9vlbrGDCGWoPotdwnakh4g%253D%253D</v>
      </c>
      <c r="G289" s="1" t="str">
        <f>_xlfn.IFNA(VLOOKUP(Port_Optimization_001[[#This Row],[POD CODE]],POD!F:H,2,0),"")</f>
        <v>SbjTwb99PCeDQHDeZwEvvA%253D%253D</v>
      </c>
      <c r="H289" s="1" t="str">
        <f>VLOOKUP(Port_Optimization_001[[#This Row],[POL CODE]],POL!F:H,3,0)</f>
        <v>9vlbrGDCGWoPotdwnakh4g%253D%253D</v>
      </c>
      <c r="I289" s="1" t="str">
        <f>_xlfn.IFNA(VLOOKUP(Port_Optimization_001[[#This Row],[POD CODE]],POD!F:H,3,0),"")</f>
        <v>nIJ3Uyv%252Bm7qB2PS5QvkN1A%253D%253D</v>
      </c>
    </row>
    <row r="290" spans="1:9" x14ac:dyDescent="0.3">
      <c r="A290" s="1" t="s">
        <v>1493</v>
      </c>
      <c r="B290" s="1" t="s">
        <v>1461</v>
      </c>
      <c r="C290" s="1" t="str">
        <f t="shared" si="8"/>
        <v>CNTXG</v>
      </c>
      <c r="D290" s="1" t="str">
        <f t="shared" si="9"/>
        <v>GHTEM</v>
      </c>
      <c r="E29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https://www.weiyun001.com/routePort?st=9vlbrGDCGWoPotdwnakh4g%253D%253D&amp;de=kB%252BdZmqU8TS1XETJO7LmbQ%253D%253D&amp;rg=9vlbrGDCGWoPotdwnakh4g%253D%253D&amp;rt=d4cKFtsNQdHrm3NULzwm1w%253D%253D</v>
      </c>
      <c r="F290" s="1" t="str">
        <f>VLOOKUP(Port_Optimization_001[[#This Row],[POL CODE]],POL!F:H,2,0)</f>
        <v>9vlbrGDCGWoPotdwnakh4g%253D%253D</v>
      </c>
      <c r="G290" s="1" t="str">
        <f>_xlfn.IFNA(VLOOKUP(Port_Optimization_001[[#This Row],[POD CODE]],POD!F:H,2,0),"")</f>
        <v>kB%252BdZmqU8TS1XETJO7LmbQ%253D%253D</v>
      </c>
      <c r="H290" s="1" t="str">
        <f>VLOOKUP(Port_Optimization_001[[#This Row],[POL CODE]],POL!F:H,3,0)</f>
        <v>9vlbrGDCGWoPotdwnakh4g%253D%253D</v>
      </c>
      <c r="I290" s="1" t="str">
        <f>_xlfn.IFNA(VLOOKUP(Port_Optimization_001[[#This Row],[POD CODE]],POD!F:H,3,0),"")</f>
        <v>d4cKFtsNQdHrm3NULzwm1w%253D%253D</v>
      </c>
    </row>
    <row r="291" spans="1:9" x14ac:dyDescent="0.3">
      <c r="A291" s="1" t="s">
        <v>1493</v>
      </c>
      <c r="B291" s="1" t="s">
        <v>1463</v>
      </c>
      <c r="C291" s="1" t="str">
        <f t="shared" si="8"/>
        <v>CNTXG</v>
      </c>
      <c r="D291" s="1" t="str">
        <f t="shared" si="9"/>
        <v>COBUN</v>
      </c>
      <c r="E29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https://www.weiyun001.com/routePort?st=9vlbrGDCGWoPotdwnakh4g%253D%253D&amp;de=w5DjD0wJyInHt9f5k%252BKAIg%253D%253D&amp;rg=9vlbrGDCGWoPotdwnakh4g%253D%253D&amp;rt=rSDolrCl4cQcOeyAyTf1zg%253D%253D</v>
      </c>
      <c r="F291" s="1" t="str">
        <f>VLOOKUP(Port_Optimization_001[[#This Row],[POL CODE]],POL!F:H,2,0)</f>
        <v>9vlbrGDCGWoPotdwnakh4g%253D%253D</v>
      </c>
      <c r="G291" s="1" t="str">
        <f>_xlfn.IFNA(VLOOKUP(Port_Optimization_001[[#This Row],[POD CODE]],POD!F:H,2,0),"")</f>
        <v>w5DjD0wJyInHt9f5k%252BKAIg%253D%253D</v>
      </c>
      <c r="H291" s="1" t="str">
        <f>VLOOKUP(Port_Optimization_001[[#This Row],[POL CODE]],POL!F:H,3,0)</f>
        <v>9vlbrGDCGWoPotdwnakh4g%253D%253D</v>
      </c>
      <c r="I291" s="1" t="str">
        <f>_xlfn.IFNA(VLOOKUP(Port_Optimization_001[[#This Row],[POD CODE]],POD!F:H,3,0),"")</f>
        <v>rSDolrCl4cQcOeyAyTf1zg%253D%253D</v>
      </c>
    </row>
    <row r="292" spans="1:9" x14ac:dyDescent="0.3">
      <c r="A292" s="1" t="s">
        <v>1493</v>
      </c>
      <c r="B292" s="1" t="s">
        <v>1465</v>
      </c>
      <c r="C292" s="1" t="str">
        <f t="shared" si="8"/>
        <v>CNTXG</v>
      </c>
      <c r="D292" s="1" t="str">
        <f t="shared" si="9"/>
        <v>BRSSZ</v>
      </c>
      <c r="E29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https://www.weiyun001.com/routePort?st=9vlbrGDCGWoPotdwnakh4g%253D%253D&amp;de=BdZ%252FtNPnUUWx6c7yvRrzUw%253D%253D&amp;rg=9vlbrGDCGWoPotdwnakh4g%253D%253D&amp;rt=x61UdCRqU8mCaDHdssLZSg%253D%253D</v>
      </c>
      <c r="F292" s="1" t="str">
        <f>VLOOKUP(Port_Optimization_001[[#This Row],[POL CODE]],POL!F:H,2,0)</f>
        <v>9vlbrGDCGWoPotdwnakh4g%253D%253D</v>
      </c>
      <c r="G292" s="1" t="str">
        <f>_xlfn.IFNA(VLOOKUP(Port_Optimization_001[[#This Row],[POD CODE]],POD!F:H,2,0),"")</f>
        <v>BdZ%252FtNPnUUWx6c7yvRrzUw%253D%253D</v>
      </c>
      <c r="H292" s="1" t="str">
        <f>VLOOKUP(Port_Optimization_001[[#This Row],[POL CODE]],POL!F:H,3,0)</f>
        <v>9vlbrGDCGWoPotdwnakh4g%253D%253D</v>
      </c>
      <c r="I292" s="1" t="str">
        <f>_xlfn.IFNA(VLOOKUP(Port_Optimization_001[[#This Row],[POD CODE]],POD!F:H,3,0),"")</f>
        <v>x61UdCRqU8mCaDHdssLZSg%253D%253D</v>
      </c>
    </row>
    <row r="293" spans="1:9" x14ac:dyDescent="0.3">
      <c r="A293" s="1" t="s">
        <v>1493</v>
      </c>
      <c r="B293" s="1" t="s">
        <v>1492</v>
      </c>
      <c r="C293" s="1" t="str">
        <f t="shared" si="8"/>
        <v>CNTXG</v>
      </c>
      <c r="D293" s="1" t="str">
        <f t="shared" si="9"/>
        <v>AUPHE</v>
      </c>
      <c r="E29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https://www.weiyun001.com/routePort?st=9vlbrGDCGWoPotdwnakh4g%253D%253D&amp;de=KGygUm%252FKajBrK1jas6WHlg%253D%253D&amp;rg=9vlbrGDCGWoPotdwnakh4g%253D%253D&amp;rt=o04TRiXb4TdXUQEl8c%252F4bQ%253D%253D</v>
      </c>
      <c r="F293" s="1" t="str">
        <f>VLOOKUP(Port_Optimization_001[[#This Row],[POL CODE]],POL!F:H,2,0)</f>
        <v>9vlbrGDCGWoPotdwnakh4g%253D%253D</v>
      </c>
      <c r="G293" s="1" t="str">
        <f>_xlfn.IFNA(VLOOKUP(Port_Optimization_001[[#This Row],[POD CODE]],POD!F:H,2,0),"")</f>
        <v>KGygUm%252FKajBrK1jas6WHlg%253D%253D</v>
      </c>
      <c r="H293" s="1" t="str">
        <f>VLOOKUP(Port_Optimization_001[[#This Row],[POL CODE]],POL!F:H,3,0)</f>
        <v>9vlbrGDCGWoPotdwnakh4g%253D%253D</v>
      </c>
      <c r="I293" s="1" t="str">
        <f>_xlfn.IFNA(VLOOKUP(Port_Optimization_001[[#This Row],[POD CODE]],POD!F:H,3,0),"")</f>
        <v>o04TRiXb4TdXUQEl8c%252F4bQ%253D%253D</v>
      </c>
    </row>
    <row r="294" spans="1:9" x14ac:dyDescent="0.3">
      <c r="A294" s="1" t="s">
        <v>1493</v>
      </c>
      <c r="B294" s="1" t="s">
        <v>1467</v>
      </c>
      <c r="C294" s="1" t="str">
        <f t="shared" si="8"/>
        <v>CNTXG</v>
      </c>
      <c r="D294" s="1" t="str">
        <f t="shared" si="9"/>
        <v>AUBNE</v>
      </c>
      <c r="E29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https://www.weiyun001.com/routePort?st=9vlbrGDCGWoPotdwnakh4g%253D%253D&amp;de=PFEPD9phugL4OCypgVW00A%253D%253D&amp;rg=9vlbrGDCGWoPotdwnakh4g%253D%253D&amp;rt=o04TRiXb4TdXUQEl8c%252F4bQ%253D%253D</v>
      </c>
      <c r="F294" s="1" t="str">
        <f>VLOOKUP(Port_Optimization_001[[#This Row],[POL CODE]],POL!F:H,2,0)</f>
        <v>9vlbrGDCGWoPotdwnakh4g%253D%253D</v>
      </c>
      <c r="G294" s="1" t="str">
        <f>_xlfn.IFNA(VLOOKUP(Port_Optimization_001[[#This Row],[POD CODE]],POD!F:H,2,0),"")</f>
        <v>PFEPD9phugL4OCypgVW00A%253D%253D</v>
      </c>
      <c r="H294" s="1" t="str">
        <f>VLOOKUP(Port_Optimization_001[[#This Row],[POL CODE]],POL!F:H,3,0)</f>
        <v>9vlbrGDCGWoPotdwnakh4g%253D%253D</v>
      </c>
      <c r="I294" s="1" t="str">
        <f>_xlfn.IFNA(VLOOKUP(Port_Optimization_001[[#This Row],[POD CODE]],POD!F:H,3,0),"")</f>
        <v>o04TRiXb4TdXUQEl8c%252F4bQ%253D%253D</v>
      </c>
    </row>
    <row r="295" spans="1:9" x14ac:dyDescent="0.3">
      <c r="A295" s="1" t="s">
        <v>1493</v>
      </c>
      <c r="B295" s="1" t="s">
        <v>1478</v>
      </c>
      <c r="C295" s="1" t="str">
        <f t="shared" si="8"/>
        <v>CNTXG</v>
      </c>
      <c r="D295" s="1" t="str">
        <f t="shared" si="9"/>
        <v>VUVLI</v>
      </c>
      <c r="E29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https://www.weiyun001.com/routePort?st=9vlbrGDCGWoPotdwnakh4g%253D%253D&amp;de=tgHpAypYIL1pS1D%252FuC79tQ%253D%253D&amp;rg=9vlbrGDCGWoPotdwnakh4g%253D%253D&amp;rt=iEuy19j7DYzMrthSRfBd6A%253D%253D</v>
      </c>
      <c r="F295" s="1" t="str">
        <f>VLOOKUP(Port_Optimization_001[[#This Row],[POL CODE]],POL!F:H,2,0)</f>
        <v>9vlbrGDCGWoPotdwnakh4g%253D%253D</v>
      </c>
      <c r="G295" s="1" t="str">
        <f>_xlfn.IFNA(VLOOKUP(Port_Optimization_001[[#This Row],[POD CODE]],POD!F:H,2,0),"")</f>
        <v>tgHpAypYIL1pS1D%252FuC79tQ%253D%253D</v>
      </c>
      <c r="H295" s="1" t="str">
        <f>VLOOKUP(Port_Optimization_001[[#This Row],[POL CODE]],POL!F:H,3,0)</f>
        <v>9vlbrGDCGWoPotdwnakh4g%253D%253D</v>
      </c>
      <c r="I295" s="1" t="str">
        <f>_xlfn.IFNA(VLOOKUP(Port_Optimization_001[[#This Row],[POD CODE]],POD!F:H,3,0),"")</f>
        <v>iEuy19j7DYzMrthSRfBd6A%253D%253D</v>
      </c>
    </row>
    <row r="296" spans="1:9" x14ac:dyDescent="0.3">
      <c r="A296" s="1" t="s">
        <v>1493</v>
      </c>
      <c r="B296" s="1" t="s">
        <v>1405</v>
      </c>
      <c r="C296" s="1" t="str">
        <f t="shared" si="8"/>
        <v>CNTXG</v>
      </c>
      <c r="D296" s="1" t="str">
        <f t="shared" si="9"/>
        <v>PHMNL</v>
      </c>
      <c r="E29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https://www.weiyun001.com/routePort?st=9vlbrGDCGWoPotdwnakh4g%253D%253D&amp;de=uYYEeJiaA%252BEFqhyuOo%252FKJg%253D%253D&amp;rg=9vlbrGDCGWoPotdwnakh4g%253D%253D&amp;rt=1Cobu6af7PO5k9VHay4j%252Bg%253D%253D</v>
      </c>
      <c r="F296" s="1" t="str">
        <f>VLOOKUP(Port_Optimization_001[[#This Row],[POL CODE]],POL!F:H,2,0)</f>
        <v>9vlbrGDCGWoPotdwnakh4g%253D%253D</v>
      </c>
      <c r="G296" s="1" t="str">
        <f>_xlfn.IFNA(VLOOKUP(Port_Optimization_001[[#This Row],[POD CODE]],POD!F:H,2,0),"")</f>
        <v>uYYEeJiaA%252BEFqhyuOo%252FKJg%253D%253D</v>
      </c>
      <c r="H296" s="1" t="str">
        <f>VLOOKUP(Port_Optimization_001[[#This Row],[POL CODE]],POL!F:H,3,0)</f>
        <v>9vlbrGDCGWoPotdwnakh4g%253D%253D</v>
      </c>
      <c r="I296" s="1" t="str">
        <f>_xlfn.IFNA(VLOOKUP(Port_Optimization_001[[#This Row],[POD CODE]],POD!F:H,3,0),"")</f>
        <v>1Cobu6af7PO5k9VHay4j%252Bg%253D%253D</v>
      </c>
    </row>
    <row r="297" spans="1:9" x14ac:dyDescent="0.3">
      <c r="A297" s="1" t="s">
        <v>1493</v>
      </c>
      <c r="B297" s="1" t="s">
        <v>1404</v>
      </c>
      <c r="C297" s="1" t="str">
        <f t="shared" si="8"/>
        <v>CNTXG</v>
      </c>
      <c r="D297" s="1" t="str">
        <f t="shared" si="9"/>
        <v>VNSGN</v>
      </c>
      <c r="E29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https://www.weiyun001.com/routePort?st=9vlbrGDCGWoPotdwnakh4g%253D%253D&amp;de=CVigZ03WwsIi3M4cUzX1IA%253D%253D&amp;rg=9vlbrGDCGWoPotdwnakh4g%253D%253D&amp;rt=NFL9cTznAaa4CBynkPs%252B6Q%253D%253D</v>
      </c>
      <c r="F297" s="1" t="str">
        <f>VLOOKUP(Port_Optimization_001[[#This Row],[POL CODE]],POL!F:H,2,0)</f>
        <v>9vlbrGDCGWoPotdwnakh4g%253D%253D</v>
      </c>
      <c r="G297" s="1" t="str">
        <f>_xlfn.IFNA(VLOOKUP(Port_Optimization_001[[#This Row],[POD CODE]],POD!F:H,2,0),"")</f>
        <v>CVigZ03WwsIi3M4cUzX1IA%253D%253D</v>
      </c>
      <c r="H297" s="1" t="str">
        <f>VLOOKUP(Port_Optimization_001[[#This Row],[POL CODE]],POL!F:H,3,0)</f>
        <v>9vlbrGDCGWoPotdwnakh4g%253D%253D</v>
      </c>
      <c r="I297" s="1" t="str">
        <f>_xlfn.IFNA(VLOOKUP(Port_Optimization_001[[#This Row],[POD CODE]],POD!F:H,3,0),"")</f>
        <v>NFL9cTznAaa4CBynkPs%252B6Q%253D%253D</v>
      </c>
    </row>
    <row r="298" spans="1:9" x14ac:dyDescent="0.3">
      <c r="A298" s="1" t="s">
        <v>1493</v>
      </c>
      <c r="B298" s="1" t="s">
        <v>1406</v>
      </c>
      <c r="C298" s="1" t="str">
        <f t="shared" si="8"/>
        <v>CNTXG</v>
      </c>
      <c r="D298" s="1" t="str">
        <f t="shared" si="9"/>
        <v>IDJKT</v>
      </c>
      <c r="E29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https://www.weiyun001.com/routePort?st=9vlbrGDCGWoPotdwnakh4g%253D%253D&amp;de=ffFYXkaqrPSmqfQq9H1AYQ%253D%253D&amp;rg=9vlbrGDCGWoPotdwnakh4g%253D%253D&amp;rt=1Cobu6af7PO5k9VHay4j%252Bg%253D%253D</v>
      </c>
      <c r="F298" s="1" t="str">
        <f>VLOOKUP(Port_Optimization_001[[#This Row],[POL CODE]],POL!F:H,2,0)</f>
        <v>9vlbrGDCGWoPotdwnakh4g%253D%253D</v>
      </c>
      <c r="G298" s="1" t="str">
        <f>_xlfn.IFNA(VLOOKUP(Port_Optimization_001[[#This Row],[POD CODE]],POD!F:H,2,0),"")</f>
        <v>ffFYXkaqrPSmqfQq9H1AYQ%253D%253D</v>
      </c>
      <c r="H298" s="1" t="str">
        <f>VLOOKUP(Port_Optimization_001[[#This Row],[POL CODE]],POL!F:H,3,0)</f>
        <v>9vlbrGDCGWoPotdwnakh4g%253D%253D</v>
      </c>
      <c r="I298" s="1" t="str">
        <f>_xlfn.IFNA(VLOOKUP(Port_Optimization_001[[#This Row],[POD CODE]],POD!F:H,3,0),"")</f>
        <v>1Cobu6af7PO5k9VHay4j%252Bg%253D%253D</v>
      </c>
    </row>
    <row r="299" spans="1:9" x14ac:dyDescent="0.3">
      <c r="A299" s="1" t="s">
        <v>1493</v>
      </c>
      <c r="B299" s="1" t="s">
        <v>1407</v>
      </c>
      <c r="C299" s="1" t="str">
        <f t="shared" si="8"/>
        <v>CNTXG</v>
      </c>
      <c r="D299" s="1" t="str">
        <f t="shared" si="9"/>
        <v>VNHPH</v>
      </c>
      <c r="E29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https://www.weiyun001.com/routePort?st=9vlbrGDCGWoPotdwnakh4g%253D%253D&amp;de=fJ71EUPe75vnyZvJ9cGHxg%253D%253D&amp;rg=9vlbrGDCGWoPotdwnakh4g%253D%253D&amp;rt=NFL9cTznAaa4CBynkPs%252B6Q%253D%253D</v>
      </c>
      <c r="F299" s="1" t="str">
        <f>VLOOKUP(Port_Optimization_001[[#This Row],[POL CODE]],POL!F:H,2,0)</f>
        <v>9vlbrGDCGWoPotdwnakh4g%253D%253D</v>
      </c>
      <c r="G299" s="1" t="str">
        <f>_xlfn.IFNA(VLOOKUP(Port_Optimization_001[[#This Row],[POD CODE]],POD!F:H,2,0),"")</f>
        <v>fJ71EUPe75vnyZvJ9cGHxg%253D%253D</v>
      </c>
      <c r="H299" s="1" t="str">
        <f>VLOOKUP(Port_Optimization_001[[#This Row],[POL CODE]],POL!F:H,3,0)</f>
        <v>9vlbrGDCGWoPotdwnakh4g%253D%253D</v>
      </c>
      <c r="I299" s="1" t="str">
        <f>_xlfn.IFNA(VLOOKUP(Port_Optimization_001[[#This Row],[POD CODE]],POD!F:H,3,0),"")</f>
        <v>NFL9cTznAaa4CBynkPs%252B6Q%253D%253D</v>
      </c>
    </row>
    <row r="300" spans="1:9" x14ac:dyDescent="0.3">
      <c r="A300" s="1" t="s">
        <v>1493</v>
      </c>
      <c r="B300" s="1" t="s">
        <v>1409</v>
      </c>
      <c r="C300" s="1" t="str">
        <f t="shared" si="8"/>
        <v>CNTXG</v>
      </c>
      <c r="D300" s="1" t="str">
        <f t="shared" si="9"/>
        <v>MYTPP</v>
      </c>
      <c r="E30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https://www.weiyun001.com/routePort?st=9vlbrGDCGWoPotdwnakh4g%253D%253D&amp;de=Zfdwz371n2fV4bpx64twzQ%253D%253D&amp;rg=9vlbrGDCGWoPotdwnakh4g%253D%253D&amp;rt=NFL9cTznAaa4CBynkPs%252B6Q%253D%253D</v>
      </c>
      <c r="F300" s="1" t="str">
        <f>VLOOKUP(Port_Optimization_001[[#This Row],[POL CODE]],POL!F:H,2,0)</f>
        <v>9vlbrGDCGWoPotdwnakh4g%253D%253D</v>
      </c>
      <c r="G300" s="1" t="str">
        <f>_xlfn.IFNA(VLOOKUP(Port_Optimization_001[[#This Row],[POD CODE]],POD!F:H,2,0),"")</f>
        <v>Zfdwz371n2fV4bpx64twzQ%253D%253D</v>
      </c>
      <c r="H300" s="1" t="str">
        <f>VLOOKUP(Port_Optimization_001[[#This Row],[POL CODE]],POL!F:H,3,0)</f>
        <v>9vlbrGDCGWoPotdwnakh4g%253D%253D</v>
      </c>
      <c r="I300" s="1" t="str">
        <f>_xlfn.IFNA(VLOOKUP(Port_Optimization_001[[#This Row],[POD CODE]],POD!F:H,3,0),"")</f>
        <v>NFL9cTznAaa4CBynkPs%252B6Q%253D%253D</v>
      </c>
    </row>
    <row r="301" spans="1:9" x14ac:dyDescent="0.3">
      <c r="A301" s="1" t="s">
        <v>1493</v>
      </c>
      <c r="B301" s="1" t="s">
        <v>1470</v>
      </c>
      <c r="C301" s="1" t="str">
        <f t="shared" si="8"/>
        <v>CNTXG</v>
      </c>
      <c r="D301" s="1" t="str">
        <f t="shared" si="9"/>
        <v>MYPEN</v>
      </c>
      <c r="E30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https://www.weiyun001.com/routePort?st=9vlbrGDCGWoPotdwnakh4g%253D%253D&amp;de=tVaiOFP7i%252Bq6FkaCrH4cPg%253D%253D&amp;rg=9vlbrGDCGWoPotdwnakh4g%253D%253D&amp;rt=NFL9cTznAaa4CBynkPs%252B6Q%253D%253D</v>
      </c>
      <c r="F301" s="1" t="str">
        <f>VLOOKUP(Port_Optimization_001[[#This Row],[POL CODE]],POL!F:H,2,0)</f>
        <v>9vlbrGDCGWoPotdwnakh4g%253D%253D</v>
      </c>
      <c r="G301" s="1" t="str">
        <f>_xlfn.IFNA(VLOOKUP(Port_Optimization_001[[#This Row],[POD CODE]],POD!F:H,2,0),"")</f>
        <v>tVaiOFP7i%252Bq6FkaCrH4cPg%253D%253D</v>
      </c>
      <c r="H301" s="1" t="str">
        <f>VLOOKUP(Port_Optimization_001[[#This Row],[POL CODE]],POL!F:H,3,0)</f>
        <v>9vlbrGDCGWoPotdwnakh4g%253D%253D</v>
      </c>
      <c r="I301" s="1" t="str">
        <f>_xlfn.IFNA(VLOOKUP(Port_Optimization_001[[#This Row],[POD CODE]],POD!F:H,3,0),"")</f>
        <v>NFL9cTznAaa4CBynkPs%252B6Q%253D%253D</v>
      </c>
    </row>
    <row r="302" spans="1:9" x14ac:dyDescent="0.3">
      <c r="A302" s="1" t="s">
        <v>1493</v>
      </c>
      <c r="B302" s="1" t="s">
        <v>1410</v>
      </c>
      <c r="C302" s="1" t="str">
        <f t="shared" si="8"/>
        <v>CNTXG</v>
      </c>
      <c r="D302" s="1" t="str">
        <f t="shared" si="9"/>
        <v>IDSUB</v>
      </c>
      <c r="E30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https://www.weiyun001.com/routePort?st=9vlbrGDCGWoPotdwnakh4g%253D%253D&amp;de=HlaejIbbmrtywbtr93rj1w%253D%253D&amp;rg=9vlbrGDCGWoPotdwnakh4g%253D%253D&amp;rt=1Cobu6af7PO5k9VHay4j%252Bg%253D%253D</v>
      </c>
      <c r="F302" s="1" t="str">
        <f>VLOOKUP(Port_Optimization_001[[#This Row],[POL CODE]],POL!F:H,2,0)</f>
        <v>9vlbrGDCGWoPotdwnakh4g%253D%253D</v>
      </c>
      <c r="G302" s="1" t="str">
        <f>_xlfn.IFNA(VLOOKUP(Port_Optimization_001[[#This Row],[POD CODE]],POD!F:H,2,0),"")</f>
        <v>HlaejIbbmrtywbtr93rj1w%253D%253D</v>
      </c>
      <c r="H302" s="1" t="str">
        <f>VLOOKUP(Port_Optimization_001[[#This Row],[POL CODE]],POL!F:H,3,0)</f>
        <v>9vlbrGDCGWoPotdwnakh4g%253D%253D</v>
      </c>
      <c r="I302" s="1" t="str">
        <f>_xlfn.IFNA(VLOOKUP(Port_Optimization_001[[#This Row],[POD CODE]],POD!F:H,3,0),"")</f>
        <v>1Cobu6af7PO5k9VHay4j%252Bg%253D%253D</v>
      </c>
    </row>
    <row r="303" spans="1:9" x14ac:dyDescent="0.3">
      <c r="A303" s="1" t="s">
        <v>1493</v>
      </c>
      <c r="B303" s="1" t="s">
        <v>1408</v>
      </c>
      <c r="C303" s="1" t="str">
        <f t="shared" si="8"/>
        <v>CNTXG</v>
      </c>
      <c r="D303" s="1" t="str">
        <f t="shared" si="9"/>
        <v>THLCH</v>
      </c>
      <c r="E30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https://www.weiyun001.com/routePort?st=9vlbrGDCGWoPotdwnakh4g%253D%253D&amp;de=OxmUlXWM%252FAUYd%252FPp1zlwDA%253D%253D&amp;rg=9vlbrGDCGWoPotdwnakh4g%253D%253D&amp;rt=NFL9cTznAaa4CBynkPs%252B6Q%253D%253D</v>
      </c>
      <c r="F303" s="1" t="str">
        <f>VLOOKUP(Port_Optimization_001[[#This Row],[POL CODE]],POL!F:H,2,0)</f>
        <v>9vlbrGDCGWoPotdwnakh4g%253D%253D</v>
      </c>
      <c r="G303" s="1" t="str">
        <f>_xlfn.IFNA(VLOOKUP(Port_Optimization_001[[#This Row],[POD CODE]],POD!F:H,2,0),"")</f>
        <v>OxmUlXWM%252FAUYd%252FPp1zlwDA%253D%253D</v>
      </c>
      <c r="H303" s="1" t="str">
        <f>VLOOKUP(Port_Optimization_001[[#This Row],[POL CODE]],POL!F:H,3,0)</f>
        <v>9vlbrGDCGWoPotdwnakh4g%253D%253D</v>
      </c>
      <c r="I303" s="1" t="str">
        <f>_xlfn.IFNA(VLOOKUP(Port_Optimization_001[[#This Row],[POD CODE]],POD!F:H,3,0),"")</f>
        <v>NFL9cTznAaa4CBynkPs%252B6Q%253D%253D</v>
      </c>
    </row>
    <row r="304" spans="1:9" x14ac:dyDescent="0.3">
      <c r="A304" s="1" t="s">
        <v>1493</v>
      </c>
      <c r="B304" s="1" t="s">
        <v>1411</v>
      </c>
      <c r="C304" s="1" t="str">
        <f t="shared" si="8"/>
        <v>CNTXG</v>
      </c>
      <c r="D304" s="1" t="str">
        <f t="shared" si="9"/>
        <v>SGSIN</v>
      </c>
      <c r="E30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https://www.weiyun001.com/routePort?st=9vlbrGDCGWoPotdwnakh4g%253D%253D&amp;de=YqmvNL3mswajMEBG16hT2A%253D%253D&amp;rg=9vlbrGDCGWoPotdwnakh4g%253D%253D&amp;rt=NFL9cTznAaa4CBynkPs%252B6Q%253D%253D</v>
      </c>
      <c r="F304" s="1" t="str">
        <f>VLOOKUP(Port_Optimization_001[[#This Row],[POL CODE]],POL!F:H,2,0)</f>
        <v>9vlbrGDCGWoPotdwnakh4g%253D%253D</v>
      </c>
      <c r="G304" s="1" t="str">
        <f>_xlfn.IFNA(VLOOKUP(Port_Optimization_001[[#This Row],[POD CODE]],POD!F:H,2,0),"")</f>
        <v>YqmvNL3mswajMEBG16hT2A%253D%253D</v>
      </c>
      <c r="H304" s="1" t="str">
        <f>VLOOKUP(Port_Optimization_001[[#This Row],[POL CODE]],POL!F:H,3,0)</f>
        <v>9vlbrGDCGWoPotdwnakh4g%253D%253D</v>
      </c>
      <c r="I304" s="1" t="str">
        <f>_xlfn.IFNA(VLOOKUP(Port_Optimization_001[[#This Row],[POD CODE]],POD!F:H,3,0),"")</f>
        <v>NFL9cTznAaa4CBynkPs%252B6Q%253D%253D</v>
      </c>
    </row>
    <row r="305" spans="1:9" x14ac:dyDescent="0.3">
      <c r="A305" s="1" t="s">
        <v>1493</v>
      </c>
      <c r="B305" s="1" t="s">
        <v>1413</v>
      </c>
      <c r="C305" s="1" t="str">
        <f t="shared" si="8"/>
        <v>CNTXG</v>
      </c>
      <c r="D305" s="1" t="str">
        <f t="shared" si="9"/>
        <v>PHDVO</v>
      </c>
      <c r="E30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https://www.weiyun001.com/routePort?st=9vlbrGDCGWoPotdwnakh4g%253D%253D&amp;de=HztwdcvWfyObYMSuS7M4Vg%253D%253D&amp;rg=9vlbrGDCGWoPotdwnakh4g%253D%253D&amp;rt=1Cobu6af7PO5k9VHay4j%252Bg%253D%253D</v>
      </c>
      <c r="F305" s="1" t="str">
        <f>VLOOKUP(Port_Optimization_001[[#This Row],[POL CODE]],POL!F:H,2,0)</f>
        <v>9vlbrGDCGWoPotdwnakh4g%253D%253D</v>
      </c>
      <c r="G305" s="1" t="str">
        <f>_xlfn.IFNA(VLOOKUP(Port_Optimization_001[[#This Row],[POD CODE]],POD!F:H,2,0),"")</f>
        <v>HztwdcvWfyObYMSuS7M4Vg%253D%253D</v>
      </c>
      <c r="H305" s="1" t="str">
        <f>VLOOKUP(Port_Optimization_001[[#This Row],[POL CODE]],POL!F:H,3,0)</f>
        <v>9vlbrGDCGWoPotdwnakh4g%253D%253D</v>
      </c>
      <c r="I305" s="1" t="str">
        <f>_xlfn.IFNA(VLOOKUP(Port_Optimization_001[[#This Row],[POD CODE]],POD!F:H,3,0),"")</f>
        <v>1Cobu6af7PO5k9VHay4j%252Bg%253D%253D</v>
      </c>
    </row>
    <row r="306" spans="1:9" x14ac:dyDescent="0.3">
      <c r="A306" s="1" t="s">
        <v>1493</v>
      </c>
      <c r="B306" s="1" t="s">
        <v>1414</v>
      </c>
      <c r="C306" s="1" t="str">
        <f t="shared" si="8"/>
        <v>CNTXG</v>
      </c>
      <c r="D306" s="1" t="str">
        <f t="shared" si="9"/>
        <v>MYPGU</v>
      </c>
      <c r="E30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https://www.weiyun001.com/routePort?st=9vlbrGDCGWoPotdwnakh4g%253D%253D&amp;de=ANDy0tuuXA3bR0I4F4vWhg%253D%253D&amp;rg=9vlbrGDCGWoPotdwnakh4g%253D%253D&amp;rt=NFL9cTznAaa4CBynkPs%252B6Q%253D%253D</v>
      </c>
      <c r="F306" s="1" t="str">
        <f>VLOOKUP(Port_Optimization_001[[#This Row],[POL CODE]],POL!F:H,2,0)</f>
        <v>9vlbrGDCGWoPotdwnakh4g%253D%253D</v>
      </c>
      <c r="G306" s="1" t="str">
        <f>_xlfn.IFNA(VLOOKUP(Port_Optimization_001[[#This Row],[POD CODE]],POD!F:H,2,0),"")</f>
        <v>ANDy0tuuXA3bR0I4F4vWhg%253D%253D</v>
      </c>
      <c r="H306" s="1" t="str">
        <f>VLOOKUP(Port_Optimization_001[[#This Row],[POL CODE]],POL!F:H,3,0)</f>
        <v>9vlbrGDCGWoPotdwnakh4g%253D%253D</v>
      </c>
      <c r="I306" s="1" t="str">
        <f>_xlfn.IFNA(VLOOKUP(Port_Optimization_001[[#This Row],[POD CODE]],POD!F:H,3,0),"")</f>
        <v>NFL9cTznAaa4CBynkPs%252B6Q%253D%253D</v>
      </c>
    </row>
    <row r="307" spans="1:9" x14ac:dyDescent="0.3">
      <c r="A307" s="1" t="s">
        <v>1493</v>
      </c>
      <c r="B307" s="1" t="s">
        <v>1415</v>
      </c>
      <c r="C307" s="1" t="str">
        <f t="shared" si="8"/>
        <v>CNTXG</v>
      </c>
      <c r="D307" s="1" t="str">
        <f t="shared" si="9"/>
        <v>MYPKG</v>
      </c>
      <c r="E30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https://www.weiyun001.com/routePort?st=9vlbrGDCGWoPotdwnakh4g%253D%253D&amp;de=2WJxBRbU754HNWDDwVsKgQ%253D%253D&amp;rg=9vlbrGDCGWoPotdwnakh4g%253D%253D&amp;rt=NFL9cTznAaa4CBynkPs%252B6Q%253D%253D</v>
      </c>
      <c r="F307" s="1" t="str">
        <f>VLOOKUP(Port_Optimization_001[[#This Row],[POL CODE]],POL!F:H,2,0)</f>
        <v>9vlbrGDCGWoPotdwnakh4g%253D%253D</v>
      </c>
      <c r="G307" s="1" t="str">
        <f>_xlfn.IFNA(VLOOKUP(Port_Optimization_001[[#This Row],[POD CODE]],POD!F:H,2,0),"")</f>
        <v>2WJxBRbU754HNWDDwVsKgQ%253D%253D</v>
      </c>
      <c r="H307" s="1" t="str">
        <f>VLOOKUP(Port_Optimization_001[[#This Row],[POL CODE]],POL!F:H,3,0)</f>
        <v>9vlbrGDCGWoPotdwnakh4g%253D%253D</v>
      </c>
      <c r="I307" s="1" t="str">
        <f>_xlfn.IFNA(VLOOKUP(Port_Optimization_001[[#This Row],[POD CODE]],POD!F:H,3,0),"")</f>
        <v>NFL9cTznAaa4CBynkPs%252B6Q%253D%253D</v>
      </c>
    </row>
    <row r="308" spans="1:9" x14ac:dyDescent="0.3">
      <c r="A308" s="1" t="s">
        <v>1493</v>
      </c>
      <c r="B308" s="1" t="s">
        <v>1416</v>
      </c>
      <c r="C308" s="1" t="str">
        <f t="shared" si="8"/>
        <v>CNTXG</v>
      </c>
      <c r="D308" s="1" t="str">
        <f t="shared" si="9"/>
        <v>HKHKG</v>
      </c>
      <c r="E30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https://www.weiyun001.com/routePort?st=9vlbrGDCGWoPotdwnakh4g%253D%253D&amp;de=vMzSod%252BtWz6%252F7wRCS6eQNA%253D%253D&amp;rg=9vlbrGDCGWoPotdwnakh4g%253D%253D&amp;rt=Sf%252FJBtcqkoI65Fe6qmiQsA%253D%253D</v>
      </c>
      <c r="F308" s="1" t="str">
        <f>VLOOKUP(Port_Optimization_001[[#This Row],[POL CODE]],POL!F:H,2,0)</f>
        <v>9vlbrGDCGWoPotdwnakh4g%253D%253D</v>
      </c>
      <c r="G308" s="1" t="str">
        <f>_xlfn.IFNA(VLOOKUP(Port_Optimization_001[[#This Row],[POD CODE]],POD!F:H,2,0),"")</f>
        <v>vMzSod%252BtWz6%252F7wRCS6eQNA%253D%253D</v>
      </c>
      <c r="H308" s="1" t="str">
        <f>VLOOKUP(Port_Optimization_001[[#This Row],[POL CODE]],POL!F:H,3,0)</f>
        <v>9vlbrGDCGWoPotdwnakh4g%253D%253D</v>
      </c>
      <c r="I308" s="1" t="str">
        <f>_xlfn.IFNA(VLOOKUP(Port_Optimization_001[[#This Row],[POD CODE]],POD!F:H,3,0),"")</f>
        <v>Sf%252FJBtcqkoI65Fe6qmiQsA%253D%253D</v>
      </c>
    </row>
    <row r="309" spans="1:9" x14ac:dyDescent="0.3">
      <c r="A309" s="1" t="s">
        <v>1493</v>
      </c>
      <c r="B309" s="1" t="s">
        <v>1428</v>
      </c>
      <c r="C309" s="1" t="str">
        <f t="shared" si="8"/>
        <v>CNTXG</v>
      </c>
      <c r="D309" s="1" t="str">
        <f t="shared" si="9"/>
        <v>RUVYP</v>
      </c>
      <c r="E30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https://www.weiyun001.com/routePort?st=9vlbrGDCGWoPotdwnakh4g%253D%253D&amp;de=KlSWRjDAkivH8De8U2pqPQ%253D%253D&amp;rg=9vlbrGDCGWoPotdwnakh4g%253D%253D&amp;rt=r8vdJELtQ6mqgPEUMkhs6w%253D%253D</v>
      </c>
      <c r="F309" s="1" t="str">
        <f>VLOOKUP(Port_Optimization_001[[#This Row],[POL CODE]],POL!F:H,2,0)</f>
        <v>9vlbrGDCGWoPotdwnakh4g%253D%253D</v>
      </c>
      <c r="G309" s="1" t="str">
        <f>_xlfn.IFNA(VLOOKUP(Port_Optimization_001[[#This Row],[POD CODE]],POD!F:H,2,0),"")</f>
        <v>KlSWRjDAkivH8De8U2pqPQ%253D%253D</v>
      </c>
      <c r="H309" s="1" t="str">
        <f>VLOOKUP(Port_Optimization_001[[#This Row],[POL CODE]],POL!F:H,3,0)</f>
        <v>9vlbrGDCGWoPotdwnakh4g%253D%253D</v>
      </c>
      <c r="I309" s="1" t="str">
        <f>_xlfn.IFNA(VLOOKUP(Port_Optimization_001[[#This Row],[POD CODE]],POD!F:H,3,0),"")</f>
        <v>r8vdJELtQ6mqgPEUMkhs6w%253D%253D</v>
      </c>
    </row>
    <row r="310" spans="1:9" x14ac:dyDescent="0.3">
      <c r="A310" s="1" t="s">
        <v>1493</v>
      </c>
      <c r="B310" s="1" t="s">
        <v>1417</v>
      </c>
      <c r="C310" s="1" t="str">
        <f t="shared" si="8"/>
        <v>CNTXG</v>
      </c>
      <c r="D310" s="1" t="str">
        <f t="shared" si="9"/>
        <v>KRPUS</v>
      </c>
      <c r="E31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https://www.weiyun001.com/routePort?st=9vlbrGDCGWoPotdwnakh4g%253D%253D&amp;de=8pLSQnjoVis1CMK2AzkKQA%253D%253D&amp;rg=9vlbrGDCGWoPotdwnakh4g%253D%253D&amp;rt=KylH8Pr1ynXpbeNIUggL%252FQ%253D%253D</v>
      </c>
      <c r="F310" s="1" t="str">
        <f>VLOOKUP(Port_Optimization_001[[#This Row],[POL CODE]],POL!F:H,2,0)</f>
        <v>9vlbrGDCGWoPotdwnakh4g%253D%253D</v>
      </c>
      <c r="G310" s="1" t="str">
        <f>_xlfn.IFNA(VLOOKUP(Port_Optimization_001[[#This Row],[POD CODE]],POD!F:H,2,0),"")</f>
        <v>8pLSQnjoVis1CMK2AzkKQA%253D%253D</v>
      </c>
      <c r="H310" s="1" t="str">
        <f>VLOOKUP(Port_Optimization_001[[#This Row],[POL CODE]],POL!F:H,3,0)</f>
        <v>9vlbrGDCGWoPotdwnakh4g%253D%253D</v>
      </c>
      <c r="I310" s="1" t="str">
        <f>_xlfn.IFNA(VLOOKUP(Port_Optimization_001[[#This Row],[POD CODE]],POD!F:H,3,0),"")</f>
        <v>KylH8Pr1ynXpbeNIUggL%252FQ%253D%253D</v>
      </c>
    </row>
    <row r="311" spans="1:9" x14ac:dyDescent="0.3">
      <c r="A311" s="1" t="s">
        <v>1493</v>
      </c>
      <c r="B311" s="1" t="s">
        <v>1474</v>
      </c>
      <c r="C311" s="1" t="str">
        <f t="shared" si="8"/>
        <v>CNTXG</v>
      </c>
      <c r="D311" s="1" t="str">
        <f t="shared" si="9"/>
        <v>JPNGO</v>
      </c>
      <c r="E311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https://www.weiyun001.com/routePort?st=9vlbrGDCGWoPotdwnakh4g%253D%253D&amp;de=dbUO0BqxQw4h0hqlxw8ukw%253D%253D&amp;rg=9vlbrGDCGWoPotdwnakh4g%253D%253D&amp;rt=RHiB9uH2veEacXFy%252F4no2w%253D%253D</v>
      </c>
      <c r="F311" s="1" t="str">
        <f>VLOOKUP(Port_Optimization_001[[#This Row],[POL CODE]],POL!F:H,2,0)</f>
        <v>9vlbrGDCGWoPotdwnakh4g%253D%253D</v>
      </c>
      <c r="G311" s="1" t="str">
        <f>_xlfn.IFNA(VLOOKUP(Port_Optimization_001[[#This Row],[POD CODE]],POD!F:H,2,0),"")</f>
        <v>dbUO0BqxQw4h0hqlxw8ukw%253D%253D</v>
      </c>
      <c r="H311" s="1" t="str">
        <f>VLOOKUP(Port_Optimization_001[[#This Row],[POL CODE]],POL!F:H,3,0)</f>
        <v>9vlbrGDCGWoPotdwnakh4g%253D%253D</v>
      </c>
      <c r="I311" s="1" t="str">
        <f>_xlfn.IFNA(VLOOKUP(Port_Optimization_001[[#This Row],[POD CODE]],POD!F:H,3,0),"")</f>
        <v>RHiB9uH2veEacXFy%252F4no2w%253D%253D</v>
      </c>
    </row>
    <row r="312" spans="1:9" x14ac:dyDescent="0.3">
      <c r="A312" s="1" t="s">
        <v>1493</v>
      </c>
      <c r="B312" s="1" t="s">
        <v>1421</v>
      </c>
      <c r="C312" s="1" t="str">
        <f t="shared" si="8"/>
        <v>CNTXG</v>
      </c>
      <c r="D312" s="1" t="str">
        <f t="shared" si="9"/>
        <v>TWKHH</v>
      </c>
      <c r="E312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https://www.weiyun001.com/routePort?st=9vlbrGDCGWoPotdwnakh4g%253D%253D&amp;de=Vjyg7XTarHY%252B0lksvtw%252F7A%253D%253D&amp;rg=9vlbrGDCGWoPotdwnakh4g%253D%253D&amp;rt=Ha4nmfNgPHgKMiB9XpJc%252Bg%253D%253D</v>
      </c>
      <c r="F312" s="1" t="str">
        <f>VLOOKUP(Port_Optimization_001[[#This Row],[POL CODE]],POL!F:H,2,0)</f>
        <v>9vlbrGDCGWoPotdwnakh4g%253D%253D</v>
      </c>
      <c r="G312" s="1" t="str">
        <f>_xlfn.IFNA(VLOOKUP(Port_Optimization_001[[#This Row],[POD CODE]],POD!F:H,2,0),"")</f>
        <v>Vjyg7XTarHY%252B0lksvtw%252F7A%253D%253D</v>
      </c>
      <c r="H312" s="1" t="str">
        <f>VLOOKUP(Port_Optimization_001[[#This Row],[POL CODE]],POL!F:H,3,0)</f>
        <v>9vlbrGDCGWoPotdwnakh4g%253D%253D</v>
      </c>
      <c r="I312" s="1" t="str">
        <f>_xlfn.IFNA(VLOOKUP(Port_Optimization_001[[#This Row],[POD CODE]],POD!F:H,3,0),"")</f>
        <v>Ha4nmfNgPHgKMiB9XpJc%252Bg%253D%253D</v>
      </c>
    </row>
    <row r="313" spans="1:9" x14ac:dyDescent="0.3">
      <c r="A313" s="1" t="s">
        <v>1493</v>
      </c>
      <c r="B313" s="1" t="s">
        <v>1424</v>
      </c>
      <c r="C313" s="1" t="str">
        <f t="shared" si="8"/>
        <v>CNTXG</v>
      </c>
      <c r="D313" s="1" t="str">
        <f t="shared" si="9"/>
        <v>RUVVO</v>
      </c>
      <c r="E313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https://www.weiyun001.com/routePort?st=9vlbrGDCGWoPotdwnakh4g%253D%253D&amp;de=s0PPhkNj1tJW6BNaLsGHUw%253D%253D&amp;rg=9vlbrGDCGWoPotdwnakh4g%253D%253D&amp;rt=r8vdJELtQ6mqgPEUMkhs6w%253D%253D</v>
      </c>
      <c r="F313" s="1" t="str">
        <f>VLOOKUP(Port_Optimization_001[[#This Row],[POL CODE]],POL!F:H,2,0)</f>
        <v>9vlbrGDCGWoPotdwnakh4g%253D%253D</v>
      </c>
      <c r="G313" s="1" t="str">
        <f>_xlfn.IFNA(VLOOKUP(Port_Optimization_001[[#This Row],[POD CODE]],POD!F:H,2,0),"")</f>
        <v>s0PPhkNj1tJW6BNaLsGHUw%253D%253D</v>
      </c>
      <c r="H313" s="1" t="str">
        <f>VLOOKUP(Port_Optimization_001[[#This Row],[POL CODE]],POL!F:H,3,0)</f>
        <v>9vlbrGDCGWoPotdwnakh4g%253D%253D</v>
      </c>
      <c r="I313" s="1" t="str">
        <f>_xlfn.IFNA(VLOOKUP(Port_Optimization_001[[#This Row],[POD CODE]],POD!F:H,3,0),"")</f>
        <v>r8vdJELtQ6mqgPEUMkhs6w%253D%253D</v>
      </c>
    </row>
    <row r="314" spans="1:9" x14ac:dyDescent="0.3">
      <c r="A314" s="1" t="s">
        <v>1493</v>
      </c>
      <c r="B314" s="1" t="s">
        <v>1420</v>
      </c>
      <c r="C314" s="1" t="str">
        <f t="shared" si="8"/>
        <v>CNTXG</v>
      </c>
      <c r="D314" s="1" t="str">
        <f t="shared" si="9"/>
        <v>KRBNP</v>
      </c>
      <c r="E314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https://www.weiyun001.com/routePort?st=9vlbrGDCGWoPotdwnakh4g%253D%253D&amp;de=hl76VvMJR%252Fhqo%252BAR2bQZUw%253D%253D&amp;rg=9vlbrGDCGWoPotdwnakh4g%253D%253D&amp;rt=KylH8Pr1ynXpbeNIUggL%252FQ%253D%253D</v>
      </c>
      <c r="F314" s="1" t="str">
        <f>VLOOKUP(Port_Optimization_001[[#This Row],[POL CODE]],POL!F:H,2,0)</f>
        <v>9vlbrGDCGWoPotdwnakh4g%253D%253D</v>
      </c>
      <c r="G314" s="1" t="str">
        <f>_xlfn.IFNA(VLOOKUP(Port_Optimization_001[[#This Row],[POD CODE]],POD!F:H,2,0),"")</f>
        <v>hl76VvMJR%252Fhqo%252BAR2bQZUw%253D%253D</v>
      </c>
      <c r="H314" s="1" t="str">
        <f>VLOOKUP(Port_Optimization_001[[#This Row],[POL CODE]],POL!F:H,3,0)</f>
        <v>9vlbrGDCGWoPotdwnakh4g%253D%253D</v>
      </c>
      <c r="I314" s="1" t="str">
        <f>_xlfn.IFNA(VLOOKUP(Port_Optimization_001[[#This Row],[POD CODE]],POD!F:H,3,0),"")</f>
        <v>KylH8Pr1ynXpbeNIUggL%252FQ%253D%253D</v>
      </c>
    </row>
    <row r="315" spans="1:9" x14ac:dyDescent="0.3">
      <c r="A315" s="1" t="s">
        <v>1493</v>
      </c>
      <c r="B315" s="1" t="s">
        <v>1419</v>
      </c>
      <c r="C315" s="1" t="str">
        <f t="shared" si="8"/>
        <v>CNTXG</v>
      </c>
      <c r="D315" s="1" t="str">
        <f t="shared" si="9"/>
        <v>JPHTD</v>
      </c>
      <c r="E315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https://www.weiyun001.com/routePort?st=9vlbrGDCGWoPotdwnakh4g%253D%253D&amp;de=SW6Np5wmifEHSbIFC4MFyg%253D%253D&amp;rg=9vlbrGDCGWoPotdwnakh4g%253D%253D&amp;rt=RHiB9uH2veEacXFy%252F4no2w%253D%253D</v>
      </c>
      <c r="F315" s="1" t="str">
        <f>VLOOKUP(Port_Optimization_001[[#This Row],[POL CODE]],POL!F:H,2,0)</f>
        <v>9vlbrGDCGWoPotdwnakh4g%253D%253D</v>
      </c>
      <c r="G315" s="1" t="str">
        <f>_xlfn.IFNA(VLOOKUP(Port_Optimization_001[[#This Row],[POD CODE]],POD!F:H,2,0),"")</f>
        <v>SW6Np5wmifEHSbIFC4MFyg%253D%253D</v>
      </c>
      <c r="H315" s="1" t="str">
        <f>VLOOKUP(Port_Optimization_001[[#This Row],[POL CODE]],POL!F:H,3,0)</f>
        <v>9vlbrGDCGWoPotdwnakh4g%253D%253D</v>
      </c>
      <c r="I315" s="1" t="str">
        <f>_xlfn.IFNA(VLOOKUP(Port_Optimization_001[[#This Row],[POD CODE]],POD!F:H,3,0),"")</f>
        <v>RHiB9uH2veEacXFy%252F4no2w%253D%253D</v>
      </c>
    </row>
    <row r="316" spans="1:9" x14ac:dyDescent="0.3">
      <c r="A316" s="1" t="s">
        <v>1493</v>
      </c>
      <c r="B316" s="1" t="s">
        <v>1422</v>
      </c>
      <c r="C316" s="1" t="str">
        <f t="shared" si="8"/>
        <v>CNTXG</v>
      </c>
      <c r="D316" s="1" t="str">
        <f t="shared" si="9"/>
        <v>JPSBS</v>
      </c>
      <c r="E316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https://www.weiyun001.com/routePort?st=9vlbrGDCGWoPotdwnakh4g%253D%253D&amp;de=jVV2E8J20Ak8Jot1PMDX7g%253D%253D&amp;rg=9vlbrGDCGWoPotdwnakh4g%253D%253D&amp;rt=8qgsJj9tmT8zECAL0Nsagw%253D%253D</v>
      </c>
      <c r="F316" s="1" t="str">
        <f>VLOOKUP(Port_Optimization_001[[#This Row],[POL CODE]],POL!F:H,2,0)</f>
        <v>9vlbrGDCGWoPotdwnakh4g%253D%253D</v>
      </c>
      <c r="G316" s="1" t="str">
        <f>_xlfn.IFNA(VLOOKUP(Port_Optimization_001[[#This Row],[POD CODE]],POD!F:H,2,0),"")</f>
        <v>jVV2E8J20Ak8Jot1PMDX7g%253D%253D</v>
      </c>
      <c r="H316" s="1" t="str">
        <f>VLOOKUP(Port_Optimization_001[[#This Row],[POL CODE]],POL!F:H,3,0)</f>
        <v>9vlbrGDCGWoPotdwnakh4g%253D%253D</v>
      </c>
      <c r="I316" s="1" t="str">
        <f>_xlfn.IFNA(VLOOKUP(Port_Optimization_001[[#This Row],[POD CODE]],POD!F:H,3,0),"")</f>
        <v>8qgsJj9tmT8zECAL0Nsagw%253D%253D</v>
      </c>
    </row>
    <row r="317" spans="1:9" x14ac:dyDescent="0.3">
      <c r="A317" s="1" t="s">
        <v>1493</v>
      </c>
      <c r="B317" s="1" t="s">
        <v>1432</v>
      </c>
      <c r="C317" s="1" t="str">
        <f t="shared" si="8"/>
        <v>CNTXG</v>
      </c>
      <c r="D317" s="1" t="str">
        <f t="shared" si="9"/>
        <v>KRKWA</v>
      </c>
      <c r="E317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https://www.weiyun001.com/routePort?st=9vlbrGDCGWoPotdwnakh4g%253D%253D&amp;de=rPLnE99TLeh2amlrcypq7A%253D%253D&amp;rg=9vlbrGDCGWoPotdwnakh4g%253D%253D&amp;rt=KylH8Pr1ynXpbeNIUggL%252FQ%253D%253D</v>
      </c>
      <c r="F317" s="1" t="str">
        <f>VLOOKUP(Port_Optimization_001[[#This Row],[POL CODE]],POL!F:H,2,0)</f>
        <v>9vlbrGDCGWoPotdwnakh4g%253D%253D</v>
      </c>
      <c r="G317" s="1" t="str">
        <f>_xlfn.IFNA(VLOOKUP(Port_Optimization_001[[#This Row],[POD CODE]],POD!F:H,2,0),"")</f>
        <v>rPLnE99TLeh2amlrcypq7A%253D%253D</v>
      </c>
      <c r="H317" s="1" t="str">
        <f>VLOOKUP(Port_Optimization_001[[#This Row],[POL CODE]],POL!F:H,3,0)</f>
        <v>9vlbrGDCGWoPotdwnakh4g%253D%253D</v>
      </c>
      <c r="I317" s="1" t="str">
        <f>_xlfn.IFNA(VLOOKUP(Port_Optimization_001[[#This Row],[POD CODE]],POD!F:H,3,0),"")</f>
        <v>KylH8Pr1ynXpbeNIUggL%252FQ%253D%253D</v>
      </c>
    </row>
    <row r="318" spans="1:9" x14ac:dyDescent="0.3">
      <c r="A318" s="1" t="s">
        <v>1493</v>
      </c>
      <c r="B318" s="1" t="s">
        <v>1426</v>
      </c>
      <c r="C318" s="1" t="str">
        <f t="shared" si="8"/>
        <v>CNTXG</v>
      </c>
      <c r="D318" s="1" t="str">
        <f t="shared" si="9"/>
        <v>JPOSA</v>
      </c>
      <c r="E318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https://www.weiyun001.com/routePort?st=9vlbrGDCGWoPotdwnakh4g%253D%253D&amp;de=3agd5gO2ul%252BbrT%252BGjjf0BQ%253D%253D&amp;rg=9vlbrGDCGWoPotdwnakh4g%253D%253D&amp;rt=RHiB9uH2veEacXFy%252F4no2w%253D%253D</v>
      </c>
      <c r="F318" s="1" t="str">
        <f>VLOOKUP(Port_Optimization_001[[#This Row],[POL CODE]],POL!F:H,2,0)</f>
        <v>9vlbrGDCGWoPotdwnakh4g%253D%253D</v>
      </c>
      <c r="G318" s="1" t="str">
        <f>_xlfn.IFNA(VLOOKUP(Port_Optimization_001[[#This Row],[POD CODE]],POD!F:H,2,0),"")</f>
        <v>3agd5gO2ul%252BbrT%252BGjjf0BQ%253D%253D</v>
      </c>
      <c r="H318" s="1" t="str">
        <f>VLOOKUP(Port_Optimization_001[[#This Row],[POL CODE]],POL!F:H,3,0)</f>
        <v>9vlbrGDCGWoPotdwnakh4g%253D%253D</v>
      </c>
      <c r="I318" s="1" t="str">
        <f>_xlfn.IFNA(VLOOKUP(Port_Optimization_001[[#This Row],[POD CODE]],POD!F:H,3,0),"")</f>
        <v>RHiB9uH2veEacXFy%252F4no2w%253D%253D</v>
      </c>
    </row>
    <row r="319" spans="1:9" x14ac:dyDescent="0.3">
      <c r="A319" s="1" t="s">
        <v>1493</v>
      </c>
      <c r="B319" s="1" t="s">
        <v>1425</v>
      </c>
      <c r="C319" s="1" t="str">
        <f t="shared" si="8"/>
        <v>CNTXG</v>
      </c>
      <c r="D319" s="1" t="str">
        <f t="shared" si="9"/>
        <v>JPIMI</v>
      </c>
      <c r="E319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https://www.weiyun001.com/routePort?st=9vlbrGDCGWoPotdwnakh4g%253D%253D&amp;de=TRQAybxJZwVsM0rUBE%252Fc2g%253D%253D&amp;rg=9vlbrGDCGWoPotdwnakh4g%253D%253D&amp;rt=8qgsJj9tmT8zECAL0Nsagw%253D%253D</v>
      </c>
      <c r="F319" s="1" t="str">
        <f>VLOOKUP(Port_Optimization_001[[#This Row],[POL CODE]],POL!F:H,2,0)</f>
        <v>9vlbrGDCGWoPotdwnakh4g%253D%253D</v>
      </c>
      <c r="G319" s="1" t="str">
        <f>_xlfn.IFNA(VLOOKUP(Port_Optimization_001[[#This Row],[POD CODE]],POD!F:H,2,0),"")</f>
        <v>TRQAybxJZwVsM0rUBE%252Fc2g%253D%253D</v>
      </c>
      <c r="H319" s="1" t="str">
        <f>VLOOKUP(Port_Optimization_001[[#This Row],[POL CODE]],POL!F:H,3,0)</f>
        <v>9vlbrGDCGWoPotdwnakh4g%253D%253D</v>
      </c>
      <c r="I319" s="1" t="str">
        <f>_xlfn.IFNA(VLOOKUP(Port_Optimization_001[[#This Row],[POD CODE]],POD!F:H,3,0),"")</f>
        <v>8qgsJj9tmT8zECAL0Nsagw%253D%253D</v>
      </c>
    </row>
    <row r="320" spans="1:9" x14ac:dyDescent="0.3">
      <c r="A320" s="1" t="s">
        <v>1493</v>
      </c>
      <c r="B320" s="1" t="s">
        <v>1427</v>
      </c>
      <c r="C320" s="1" t="str">
        <f t="shared" si="8"/>
        <v>CNTXG</v>
      </c>
      <c r="D320" s="1" t="str">
        <f t="shared" si="9"/>
        <v>KRPTK</v>
      </c>
      <c r="E320" s="1" t="str">
        <f>"https://www.weiyun001.com/routePort?st="&amp;Port_Optimization_001[[#This Row],[st]]&amp;"&amp;de="&amp;Port_Optimization_001[[#This Row],[de]]&amp;"&amp;rg="&amp;Port_Optimization_001[[#This Row],[rg]]&amp;"&amp;rt="&amp;Port_Optimization_001[[#This Row],[rt]]</f>
        <v>https://www.weiyun001.com/routePort?st=9vlbrGDCGWoPotdwnakh4g%253D%253D&amp;de=Tys%252FnB5n00pQrc%252Fq9NrIJQ%253D%253D&amp;rg=9vlbrGDCGWoPotdwnakh4g%253D%253D&amp;rt=KylH8Pr1ynXpbeNIUggL%252FQ%253D%253D</v>
      </c>
      <c r="F320" s="1" t="str">
        <f>VLOOKUP(Port_Optimization_001[[#This Row],[POL CODE]],POL!F:H,2,0)</f>
        <v>9vlbrGDCGWoPotdwnakh4g%253D%253D</v>
      </c>
      <c r="G320" s="1" t="str">
        <f>_xlfn.IFNA(VLOOKUP(Port_Optimization_001[[#This Row],[POD CODE]],POD!F:H,2,0),"")</f>
        <v>Tys%252FnB5n00pQrc%252Fq9NrIJQ%253D%253D</v>
      </c>
      <c r="H320" s="1" t="str">
        <f>VLOOKUP(Port_Optimization_001[[#This Row],[POL CODE]],POL!F:H,3,0)</f>
        <v>9vlbrGDCGWoPotdwnakh4g%253D%253D</v>
      </c>
      <c r="I320" s="1" t="str">
        <f>_xlfn.IFNA(VLOOKUP(Port_Optimization_001[[#This Row],[POD CODE]],POD!F:H,3,0),"")</f>
        <v>KylH8Pr1ynXpbeNIUggL%252FQ%253D%253D</v>
      </c>
    </row>
    <row r="321" spans="1:9" x14ac:dyDescent="0.3">
      <c r="A321"/>
      <c r="B321"/>
      <c r="C321"/>
      <c r="D321"/>
      <c r="E321"/>
      <c r="F321"/>
      <c r="G321"/>
      <c r="H321"/>
      <c r="I321"/>
    </row>
    <row r="322" spans="1:9" x14ac:dyDescent="0.3">
      <c r="A322" t="s">
        <v>1397</v>
      </c>
      <c r="B322" t="s">
        <v>1507</v>
      </c>
      <c r="C322" t="str">
        <f>IF(_xlfn.TEXTBEFORE(_xlfn.TEXTAFTER(A322,"|"),"|")="CNRZH","CNTAO",_xlfn.TEXTBEFORE(_xlfn.TEXTAFTER(A322,"|"),"|"))</f>
        <v>CNDLC</v>
      </c>
      <c r="D322" t="str">
        <f>_xlfn.TEXTBEFORE(_xlfn.TEXTAFTER(B322,"|"),"|")</f>
        <v>VNDNA</v>
      </c>
      <c r="E322" t="str">
        <f>"https://www.weiyun001.com/routePort?st="&amp;F322&amp;"&amp;de="&amp;G322&amp;"&amp;rg="&amp;H322&amp;"&amp;rt="&amp;I322</f>
        <v>https://www.weiyun001.com/routePort?st=ngJ9pZF1dUQkTJV1KSwmlw%253D%253D&amp;de=rTBDz0ZlCGUJL5mkze3Rqw%253D%253D&amp;rg=ngJ9pZF1dUQkTJV1KSwmlw%253D%253D&amp;rt=NFL9cTznAaa4CBynkPs%252B6Q%253D%253D</v>
      </c>
      <c r="F322" t="str">
        <f>VLOOKUP(C322,POL!F:H,2,0)</f>
        <v>ngJ9pZF1dUQkTJV1KSwmlw%253D%253D</v>
      </c>
      <c r="G322" t="str">
        <f>_xlfn.IFNA(VLOOKUP(D322,POD!F:H,2,0),"")</f>
        <v>rTBDz0ZlCGUJL5mkze3Rqw%253D%253D</v>
      </c>
      <c r="H322" t="str">
        <f>VLOOKUP(C322,POL!F:H,3,0)</f>
        <v>ngJ9pZF1dUQkTJV1KSwmlw%253D%253D</v>
      </c>
      <c r="I322" t="str">
        <f>_xlfn.IFNA(VLOOKUP(D322,POD!F:H,3,0),"")</f>
        <v>NFL9cTznAaa4CBynkPs%252B6Q%253D%253D</v>
      </c>
    </row>
    <row r="323" spans="1:9" x14ac:dyDescent="0.3">
      <c r="A323" t="s">
        <v>1493</v>
      </c>
      <c r="B323" t="s">
        <v>1507</v>
      </c>
      <c r="C323" t="str">
        <f t="shared" ref="C323:C324" si="10">IF(_xlfn.TEXTBEFORE(_xlfn.TEXTAFTER(A323,"|"),"|")="CNRZH","CNTAO",_xlfn.TEXTBEFORE(_xlfn.TEXTAFTER(A323,"|"),"|"))</f>
        <v>CNTXG</v>
      </c>
      <c r="D323" t="str">
        <f t="shared" ref="D323:D324" si="11">_xlfn.TEXTBEFORE(_xlfn.TEXTAFTER(B323,"|"),"|")</f>
        <v>VNDNA</v>
      </c>
      <c r="E323" t="str">
        <f t="shared" ref="E323:E324" si="12">"https://www.weiyun001.com/routePort?st="&amp;F323&amp;"&amp;de="&amp;G323&amp;"&amp;rg="&amp;H323&amp;"&amp;rt="&amp;I323</f>
        <v>https://www.weiyun001.com/routePort?st=9vlbrGDCGWoPotdwnakh4g%253D%253D&amp;de=rTBDz0ZlCGUJL5mkze3Rqw%253D%253D&amp;rg=9vlbrGDCGWoPotdwnakh4g%253D%253D&amp;rt=NFL9cTznAaa4CBynkPs%252B6Q%253D%253D</v>
      </c>
      <c r="F323" t="str">
        <f>VLOOKUP(C323,POL!F:H,2,0)</f>
        <v>9vlbrGDCGWoPotdwnakh4g%253D%253D</v>
      </c>
      <c r="G323" t="str">
        <f>_xlfn.IFNA(VLOOKUP(D323,POD!F:H,2,0),"")</f>
        <v>rTBDz0ZlCGUJL5mkze3Rqw%253D%253D</v>
      </c>
      <c r="H323" t="str">
        <f>VLOOKUP(C323,POL!F:H,3,0)</f>
        <v>9vlbrGDCGWoPotdwnakh4g%253D%253D</v>
      </c>
      <c r="I323" t="str">
        <f>_xlfn.IFNA(VLOOKUP(D323,POD!F:H,3,0),"")</f>
        <v>NFL9cTznAaa4CBynkPs%252B6Q%253D%253D</v>
      </c>
    </row>
    <row r="324" spans="1:9" x14ac:dyDescent="0.3">
      <c r="A324" t="s">
        <v>1475</v>
      </c>
      <c r="B324" t="s">
        <v>1507</v>
      </c>
      <c r="C324" t="str">
        <f t="shared" si="10"/>
        <v>CNTAO</v>
      </c>
      <c r="D324" t="str">
        <f t="shared" si="11"/>
        <v>VNDNA</v>
      </c>
      <c r="E324" t="str">
        <f t="shared" si="12"/>
        <v>https://www.weiyun001.com/routePort?st=MWZ6BhXSNqkOI0ZGa%252FiNmw%253D%253D&amp;de=rTBDz0ZlCGUJL5mkze3Rqw%253D%253D&amp;rg=MWZ6BhXSNqkOI0ZGa%252FiNmw%253D%253D&amp;rt=NFL9cTznAaa4CBynkPs%252B6Q%253D%253D</v>
      </c>
      <c r="F324" t="str">
        <f>VLOOKUP(C324,POL!F:H,2,0)</f>
        <v>MWZ6BhXSNqkOI0ZGa%252FiNmw%253D%253D</v>
      </c>
      <c r="G324" t="str">
        <f>_xlfn.IFNA(VLOOKUP(D324,POD!F:H,2,0),"")</f>
        <v>rTBDz0ZlCGUJL5mkze3Rqw%253D%253D</v>
      </c>
      <c r="H324" t="str">
        <f>VLOOKUP(C324,POL!F:H,3,0)</f>
        <v>MWZ6BhXSNqkOI0ZGa%252FiNmw%253D%253D</v>
      </c>
      <c r="I324" t="str">
        <f>_xlfn.IFNA(VLOOKUP(D324,POD!F:H,3,0),"")</f>
        <v>NFL9cTznAaa4CBynkPs%252B6Q%253D%253D</v>
      </c>
    </row>
    <row r="325" spans="1:9" x14ac:dyDescent="0.3">
      <c r="A325"/>
      <c r="B325"/>
      <c r="C325"/>
      <c r="D325"/>
      <c r="E325"/>
      <c r="F325"/>
      <c r="G325"/>
      <c r="H325"/>
      <c r="I325"/>
    </row>
    <row r="326" spans="1:9" x14ac:dyDescent="0.3">
      <c r="A326"/>
      <c r="B326"/>
      <c r="C326"/>
      <c r="D326"/>
      <c r="E326"/>
      <c r="F326"/>
      <c r="G326"/>
      <c r="H326"/>
      <c r="I326"/>
    </row>
  </sheetData>
  <phoneticPr fontId="1" type="noConversion"/>
  <conditionalFormatting sqref="E2:E320">
    <cfRule type="duplicateValues" dxfId="2" priority="1"/>
  </conditionalFormatting>
  <conditionalFormatting sqref="E327:E1048576 E1:E320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66F0-1124-41E8-801A-081C1B0E4EFF}">
  <dimension ref="A1:E324"/>
  <sheetViews>
    <sheetView zoomScale="85" zoomScaleNormal="85" workbookViewId="0"/>
  </sheetViews>
  <sheetFormatPr defaultRowHeight="14.5" x14ac:dyDescent="0.3"/>
  <cols>
    <col min="1" max="1" width="33.4140625" style="1" bestFit="1" customWidth="1"/>
    <col min="2" max="2" width="37.4140625" style="1" bestFit="1" customWidth="1"/>
    <col min="3" max="3" width="11.6640625" style="1" bestFit="1" customWidth="1"/>
    <col min="4" max="4" width="12.08203125" style="1" bestFit="1" customWidth="1"/>
    <col min="5" max="5" width="66.9140625" style="1" bestFit="1" customWidth="1"/>
    <col min="6" max="16384" width="8.6640625" style="1"/>
  </cols>
  <sheetData>
    <row r="1" spans="1:5" x14ac:dyDescent="0.3">
      <c r="A1" s="1" t="s">
        <v>0</v>
      </c>
      <c r="B1" s="1" t="s">
        <v>1</v>
      </c>
      <c r="C1" s="1" t="s">
        <v>790</v>
      </c>
      <c r="D1" s="1" t="s">
        <v>791</v>
      </c>
      <c r="E1" s="1" t="s">
        <v>789</v>
      </c>
    </row>
    <row r="2" spans="1:5" x14ac:dyDescent="0.3">
      <c r="A2" s="1" t="s">
        <v>1397</v>
      </c>
      <c r="B2" s="1" t="s">
        <v>1398</v>
      </c>
      <c r="C2" s="1" t="str">
        <f t="shared" ref="C2:C65" si="0">_xlfn.TEXTBEFORE(_xlfn.TEXTAFTER(A2,"|"),"|")</f>
        <v>CNDLC</v>
      </c>
      <c r="D2" s="1" t="str">
        <f t="shared" ref="D2:D65" si="1">_xlfn.TEXTBEFORE(_xlfn.TEXTAFTER(B2,"|"),"|")</f>
        <v>MXZLO</v>
      </c>
      <c r="E2" s="1" t="str">
        <f>"https://www.hangyun365.com/Shipping?pol_code="&amp;Port_Optimization_365[[#This Row],[POL CODE]]&amp;"&amp;pod_code="&amp;Port_Optimization_365[[#This Row],[POD CODE]]</f>
        <v>https://www.hangyun365.com/Shipping?pol_code=CNDLC&amp;pod_code=MXZLO</v>
      </c>
    </row>
    <row r="3" spans="1:5" x14ac:dyDescent="0.3">
      <c r="A3" s="1" t="s">
        <v>1397</v>
      </c>
      <c r="B3" s="1" t="s">
        <v>1399</v>
      </c>
      <c r="C3" s="1" t="str">
        <f t="shared" si="0"/>
        <v>CNDLC</v>
      </c>
      <c r="D3" s="1" t="str">
        <f t="shared" si="1"/>
        <v>GBFXT</v>
      </c>
      <c r="E3" s="1" t="str">
        <f>"https://www.hangyun365.com/Shipping?pol_code="&amp;Port_Optimization_365[[#This Row],[POL CODE]]&amp;"&amp;pod_code="&amp;Port_Optimization_365[[#This Row],[POD CODE]]</f>
        <v>https://www.hangyun365.com/Shipping?pol_code=CNDLC&amp;pod_code=GBFXT</v>
      </c>
    </row>
    <row r="4" spans="1:5" x14ac:dyDescent="0.3">
      <c r="A4" s="1" t="s">
        <v>1397</v>
      </c>
      <c r="B4" s="1" t="s">
        <v>1400</v>
      </c>
      <c r="C4" s="1" t="str">
        <f t="shared" si="0"/>
        <v>CNDLC</v>
      </c>
      <c r="D4" s="1" t="str">
        <f t="shared" si="1"/>
        <v>NLRTM</v>
      </c>
      <c r="E4" s="1" t="str">
        <f>"https://www.hangyun365.com/Shipping?pol_code="&amp;Port_Optimization_365[[#This Row],[POL CODE]]&amp;"&amp;pod_code="&amp;Port_Optimization_365[[#This Row],[POD CODE]]</f>
        <v>https://www.hangyun365.com/Shipping?pol_code=CNDLC&amp;pod_code=NLRTM</v>
      </c>
    </row>
    <row r="5" spans="1:5" x14ac:dyDescent="0.3">
      <c r="A5" s="1" t="s">
        <v>1397</v>
      </c>
      <c r="B5" s="1" t="s">
        <v>1401</v>
      </c>
      <c r="C5" s="1" t="str">
        <f t="shared" si="0"/>
        <v>CNDLC</v>
      </c>
      <c r="D5" s="1" t="str">
        <f t="shared" si="1"/>
        <v>TRIST</v>
      </c>
      <c r="E5" s="1" t="str">
        <f>"https://www.hangyun365.com/Shipping?pol_code="&amp;Port_Optimization_365[[#This Row],[POL CODE]]&amp;"&amp;pod_code="&amp;Port_Optimization_365[[#This Row],[POD CODE]]</f>
        <v>https://www.hangyun365.com/Shipping?pol_code=CNDLC&amp;pod_code=TRIST</v>
      </c>
    </row>
    <row r="6" spans="1:5" x14ac:dyDescent="0.3">
      <c r="A6" s="1" t="s">
        <v>1397</v>
      </c>
      <c r="B6" s="1" t="s">
        <v>1402</v>
      </c>
      <c r="C6" s="1" t="str">
        <f t="shared" si="0"/>
        <v>CNDLC</v>
      </c>
      <c r="D6" s="1" t="str">
        <f t="shared" si="1"/>
        <v>INNSA</v>
      </c>
      <c r="E6" s="1" t="str">
        <f>"https://www.hangyun365.com/Shipping?pol_code="&amp;Port_Optimization_365[[#This Row],[POL CODE]]&amp;"&amp;pod_code="&amp;Port_Optimization_365[[#This Row],[POD CODE]]</f>
        <v>https://www.hangyun365.com/Shipping?pol_code=CNDLC&amp;pod_code=INNSA</v>
      </c>
    </row>
    <row r="7" spans="1:5" x14ac:dyDescent="0.3">
      <c r="A7" s="1" t="s">
        <v>1397</v>
      </c>
      <c r="B7" s="1" t="s">
        <v>1403</v>
      </c>
      <c r="C7" s="1" t="str">
        <f t="shared" si="0"/>
        <v>CNDLC</v>
      </c>
      <c r="D7" s="1" t="str">
        <f t="shared" si="1"/>
        <v>AEJEA</v>
      </c>
      <c r="E7" s="1" t="str">
        <f>"https://www.hangyun365.com/Shipping?pol_code="&amp;Port_Optimization_365[[#This Row],[POL CODE]]&amp;"&amp;pod_code="&amp;Port_Optimization_365[[#This Row],[POD CODE]]</f>
        <v>https://www.hangyun365.com/Shipping?pol_code=CNDLC&amp;pod_code=AEJEA</v>
      </c>
    </row>
    <row r="8" spans="1:5" x14ac:dyDescent="0.3">
      <c r="A8" s="1" t="s">
        <v>1397</v>
      </c>
      <c r="B8" s="1" t="s">
        <v>1404</v>
      </c>
      <c r="C8" s="1" t="str">
        <f t="shared" si="0"/>
        <v>CNDLC</v>
      </c>
      <c r="D8" s="1" t="str">
        <f t="shared" si="1"/>
        <v>VNSGN</v>
      </c>
      <c r="E8" s="1" t="str">
        <f>"https://www.hangyun365.com/Shipping?pol_code="&amp;Port_Optimization_365[[#This Row],[POL CODE]]&amp;"&amp;pod_code="&amp;Port_Optimization_365[[#This Row],[POD CODE]]</f>
        <v>https://www.hangyun365.com/Shipping?pol_code=CNDLC&amp;pod_code=VNSGN</v>
      </c>
    </row>
    <row r="9" spans="1:5" x14ac:dyDescent="0.3">
      <c r="A9" s="1" t="s">
        <v>1397</v>
      </c>
      <c r="B9" s="1" t="s">
        <v>1405</v>
      </c>
      <c r="C9" s="1" t="str">
        <f t="shared" si="0"/>
        <v>CNDLC</v>
      </c>
      <c r="D9" s="1" t="str">
        <f t="shared" si="1"/>
        <v>PHMNL</v>
      </c>
      <c r="E9" s="1" t="str">
        <f>"https://www.hangyun365.com/Shipping?pol_code="&amp;Port_Optimization_365[[#This Row],[POL CODE]]&amp;"&amp;pod_code="&amp;Port_Optimization_365[[#This Row],[POD CODE]]</f>
        <v>https://www.hangyun365.com/Shipping?pol_code=CNDLC&amp;pod_code=PHMNL</v>
      </c>
    </row>
    <row r="10" spans="1:5" x14ac:dyDescent="0.3">
      <c r="A10" s="1" t="s">
        <v>1397</v>
      </c>
      <c r="B10" s="1" t="s">
        <v>1406</v>
      </c>
      <c r="C10" s="1" t="str">
        <f t="shared" si="0"/>
        <v>CNDLC</v>
      </c>
      <c r="D10" s="1" t="str">
        <f t="shared" si="1"/>
        <v>IDJKT</v>
      </c>
      <c r="E10" s="1" t="str">
        <f>"https://www.hangyun365.com/Shipping?pol_code="&amp;Port_Optimization_365[[#This Row],[POL CODE]]&amp;"&amp;pod_code="&amp;Port_Optimization_365[[#This Row],[POD CODE]]</f>
        <v>https://www.hangyun365.com/Shipping?pol_code=CNDLC&amp;pod_code=IDJKT</v>
      </c>
    </row>
    <row r="11" spans="1:5" x14ac:dyDescent="0.3">
      <c r="A11" s="1" t="s">
        <v>1397</v>
      </c>
      <c r="B11" s="1" t="s">
        <v>1407</v>
      </c>
      <c r="C11" s="1" t="str">
        <f t="shared" si="0"/>
        <v>CNDLC</v>
      </c>
      <c r="D11" s="1" t="str">
        <f t="shared" si="1"/>
        <v>VNHPH</v>
      </c>
      <c r="E11" s="1" t="str">
        <f>"https://www.hangyun365.com/Shipping?pol_code="&amp;Port_Optimization_365[[#This Row],[POL CODE]]&amp;"&amp;pod_code="&amp;Port_Optimization_365[[#This Row],[POD CODE]]</f>
        <v>https://www.hangyun365.com/Shipping?pol_code=CNDLC&amp;pod_code=VNHPH</v>
      </c>
    </row>
    <row r="12" spans="1:5" x14ac:dyDescent="0.3">
      <c r="A12" s="1" t="s">
        <v>1397</v>
      </c>
      <c r="B12" s="1" t="s">
        <v>1408</v>
      </c>
      <c r="C12" s="1" t="str">
        <f t="shared" si="0"/>
        <v>CNDLC</v>
      </c>
      <c r="D12" s="1" t="str">
        <f t="shared" si="1"/>
        <v>THLCH</v>
      </c>
      <c r="E12" s="1" t="str">
        <f>"https://www.hangyun365.com/Shipping?pol_code="&amp;Port_Optimization_365[[#This Row],[POL CODE]]&amp;"&amp;pod_code="&amp;Port_Optimization_365[[#This Row],[POD CODE]]</f>
        <v>https://www.hangyun365.com/Shipping?pol_code=CNDLC&amp;pod_code=THLCH</v>
      </c>
    </row>
    <row r="13" spans="1:5" x14ac:dyDescent="0.3">
      <c r="A13" s="1" t="s">
        <v>1397</v>
      </c>
      <c r="B13" s="1" t="s">
        <v>1409</v>
      </c>
      <c r="C13" s="1" t="str">
        <f t="shared" si="0"/>
        <v>CNDLC</v>
      </c>
      <c r="D13" s="1" t="str">
        <f t="shared" si="1"/>
        <v>MYTPP</v>
      </c>
      <c r="E13" s="1" t="str">
        <f>"https://www.hangyun365.com/Shipping?pol_code="&amp;Port_Optimization_365[[#This Row],[POL CODE]]&amp;"&amp;pod_code="&amp;Port_Optimization_365[[#This Row],[POD CODE]]</f>
        <v>https://www.hangyun365.com/Shipping?pol_code=CNDLC&amp;pod_code=MYTPP</v>
      </c>
    </row>
    <row r="14" spans="1:5" x14ac:dyDescent="0.3">
      <c r="A14" s="1" t="s">
        <v>1397</v>
      </c>
      <c r="B14" s="1" t="s">
        <v>1410</v>
      </c>
      <c r="C14" s="1" t="str">
        <f t="shared" si="0"/>
        <v>CNDLC</v>
      </c>
      <c r="D14" s="1" t="str">
        <f t="shared" si="1"/>
        <v>IDSUB</v>
      </c>
      <c r="E14" s="1" t="str">
        <f>"https://www.hangyun365.com/Shipping?pol_code="&amp;Port_Optimization_365[[#This Row],[POL CODE]]&amp;"&amp;pod_code="&amp;Port_Optimization_365[[#This Row],[POD CODE]]</f>
        <v>https://www.hangyun365.com/Shipping?pol_code=CNDLC&amp;pod_code=IDSUB</v>
      </c>
    </row>
    <row r="15" spans="1:5" x14ac:dyDescent="0.3">
      <c r="A15" s="1" t="s">
        <v>1397</v>
      </c>
      <c r="B15" s="1" t="s">
        <v>1411</v>
      </c>
      <c r="C15" s="1" t="str">
        <f t="shared" si="0"/>
        <v>CNDLC</v>
      </c>
      <c r="D15" s="1" t="str">
        <f t="shared" si="1"/>
        <v>SGSIN</v>
      </c>
      <c r="E15" s="1" t="str">
        <f>"https://www.hangyun365.com/Shipping?pol_code="&amp;Port_Optimization_365[[#This Row],[POL CODE]]&amp;"&amp;pod_code="&amp;Port_Optimization_365[[#This Row],[POD CODE]]</f>
        <v>https://www.hangyun365.com/Shipping?pol_code=CNDLC&amp;pod_code=SGSIN</v>
      </c>
    </row>
    <row r="16" spans="1:5" x14ac:dyDescent="0.3">
      <c r="A16" s="1" t="s">
        <v>1397</v>
      </c>
      <c r="B16" s="1" t="s">
        <v>1412</v>
      </c>
      <c r="C16" s="1" t="str">
        <f t="shared" si="0"/>
        <v>CNDLC</v>
      </c>
      <c r="D16" s="1" t="str">
        <f t="shared" si="1"/>
        <v>KHKOS</v>
      </c>
      <c r="E16" s="1" t="str">
        <f>"https://www.hangyun365.com/Shipping?pol_code="&amp;Port_Optimization_365[[#This Row],[POL CODE]]&amp;"&amp;pod_code="&amp;Port_Optimization_365[[#This Row],[POD CODE]]</f>
        <v>https://www.hangyun365.com/Shipping?pol_code=CNDLC&amp;pod_code=KHKOS</v>
      </c>
    </row>
    <row r="17" spans="1:5" x14ac:dyDescent="0.3">
      <c r="A17" s="1" t="s">
        <v>1397</v>
      </c>
      <c r="B17" s="1" t="s">
        <v>1413</v>
      </c>
      <c r="C17" s="1" t="str">
        <f t="shared" si="0"/>
        <v>CNDLC</v>
      </c>
      <c r="D17" s="1" t="str">
        <f t="shared" si="1"/>
        <v>PHDVO</v>
      </c>
      <c r="E17" s="1" t="str">
        <f>"https://www.hangyun365.com/Shipping?pol_code="&amp;Port_Optimization_365[[#This Row],[POL CODE]]&amp;"&amp;pod_code="&amp;Port_Optimization_365[[#This Row],[POD CODE]]</f>
        <v>https://www.hangyun365.com/Shipping?pol_code=CNDLC&amp;pod_code=PHDVO</v>
      </c>
    </row>
    <row r="18" spans="1:5" x14ac:dyDescent="0.3">
      <c r="A18" s="1" t="s">
        <v>1397</v>
      </c>
      <c r="B18" s="1" t="s">
        <v>1414</v>
      </c>
      <c r="C18" s="1" t="str">
        <f t="shared" si="0"/>
        <v>CNDLC</v>
      </c>
      <c r="D18" s="1" t="str">
        <f t="shared" si="1"/>
        <v>MYPGU</v>
      </c>
      <c r="E18" s="1" t="str">
        <f>"https://www.hangyun365.com/Shipping?pol_code="&amp;Port_Optimization_365[[#This Row],[POL CODE]]&amp;"&amp;pod_code="&amp;Port_Optimization_365[[#This Row],[POD CODE]]</f>
        <v>https://www.hangyun365.com/Shipping?pol_code=CNDLC&amp;pod_code=MYPGU</v>
      </c>
    </row>
    <row r="19" spans="1:5" x14ac:dyDescent="0.3">
      <c r="A19" s="1" t="s">
        <v>1397</v>
      </c>
      <c r="B19" s="1" t="s">
        <v>1415</v>
      </c>
      <c r="C19" s="1" t="str">
        <f t="shared" si="0"/>
        <v>CNDLC</v>
      </c>
      <c r="D19" s="1" t="str">
        <f t="shared" si="1"/>
        <v>MYPKG</v>
      </c>
      <c r="E19" s="1" t="str">
        <f>"https://www.hangyun365.com/Shipping?pol_code="&amp;Port_Optimization_365[[#This Row],[POL CODE]]&amp;"&amp;pod_code="&amp;Port_Optimization_365[[#This Row],[POD CODE]]</f>
        <v>https://www.hangyun365.com/Shipping?pol_code=CNDLC&amp;pod_code=MYPKG</v>
      </c>
    </row>
    <row r="20" spans="1:5" x14ac:dyDescent="0.3">
      <c r="A20" s="1" t="s">
        <v>1397</v>
      </c>
      <c r="B20" s="1" t="s">
        <v>1416</v>
      </c>
      <c r="C20" s="1" t="str">
        <f t="shared" si="0"/>
        <v>CNDLC</v>
      </c>
      <c r="D20" s="1" t="str">
        <f t="shared" si="1"/>
        <v>HKHKG</v>
      </c>
      <c r="E20" s="1" t="str">
        <f>"https://www.hangyun365.com/Shipping?pol_code="&amp;Port_Optimization_365[[#This Row],[POL CODE]]&amp;"&amp;pod_code="&amp;Port_Optimization_365[[#This Row],[POD CODE]]</f>
        <v>https://www.hangyun365.com/Shipping?pol_code=CNDLC&amp;pod_code=HKHKG</v>
      </c>
    </row>
    <row r="21" spans="1:5" x14ac:dyDescent="0.3">
      <c r="A21" s="1" t="s">
        <v>1397</v>
      </c>
      <c r="B21" s="1" t="s">
        <v>1417</v>
      </c>
      <c r="C21" s="1" t="str">
        <f t="shared" si="0"/>
        <v>CNDLC</v>
      </c>
      <c r="D21" s="1" t="str">
        <f t="shared" si="1"/>
        <v>KRPUS</v>
      </c>
      <c r="E21" s="1" t="str">
        <f>"https://www.hangyun365.com/Shipping?pol_code="&amp;Port_Optimization_365[[#This Row],[POL CODE]]&amp;"&amp;pod_code="&amp;Port_Optimization_365[[#This Row],[POD CODE]]</f>
        <v>https://www.hangyun365.com/Shipping?pol_code=CNDLC&amp;pod_code=KRPUS</v>
      </c>
    </row>
    <row r="22" spans="1:5" x14ac:dyDescent="0.3">
      <c r="A22" s="1" t="s">
        <v>1397</v>
      </c>
      <c r="B22" s="1" t="s">
        <v>1418</v>
      </c>
      <c r="C22" s="1" t="str">
        <f t="shared" si="0"/>
        <v>CNDLC</v>
      </c>
      <c r="D22" s="1" t="str">
        <f t="shared" si="1"/>
        <v>JPYOK</v>
      </c>
      <c r="E22" s="1" t="str">
        <f>"https://www.hangyun365.com/Shipping?pol_code="&amp;Port_Optimization_365[[#This Row],[POL CODE]]&amp;"&amp;pod_code="&amp;Port_Optimization_365[[#This Row],[POD CODE]]</f>
        <v>https://www.hangyun365.com/Shipping?pol_code=CNDLC&amp;pod_code=JPYOK</v>
      </c>
    </row>
    <row r="23" spans="1:5" x14ac:dyDescent="0.3">
      <c r="A23" s="1" t="s">
        <v>1397</v>
      </c>
      <c r="B23" s="1" t="s">
        <v>1419</v>
      </c>
      <c r="C23" s="1" t="str">
        <f t="shared" si="0"/>
        <v>CNDLC</v>
      </c>
      <c r="D23" s="1" t="str">
        <f t="shared" si="1"/>
        <v>JPHTD</v>
      </c>
      <c r="E23" s="1" t="str">
        <f>"https://www.hangyun365.com/Shipping?pol_code="&amp;Port_Optimization_365[[#This Row],[POL CODE]]&amp;"&amp;pod_code="&amp;Port_Optimization_365[[#This Row],[POD CODE]]</f>
        <v>https://www.hangyun365.com/Shipping?pol_code=CNDLC&amp;pod_code=JPHTD</v>
      </c>
    </row>
    <row r="24" spans="1:5" x14ac:dyDescent="0.3">
      <c r="A24" s="1" t="s">
        <v>1397</v>
      </c>
      <c r="B24" s="1" t="s">
        <v>1420</v>
      </c>
      <c r="C24" s="1" t="str">
        <f t="shared" si="0"/>
        <v>CNDLC</v>
      </c>
      <c r="D24" s="1" t="str">
        <f t="shared" si="1"/>
        <v>KRBNP</v>
      </c>
      <c r="E24" s="1" t="str">
        <f>"https://www.hangyun365.com/Shipping?pol_code="&amp;Port_Optimization_365[[#This Row],[POL CODE]]&amp;"&amp;pod_code="&amp;Port_Optimization_365[[#This Row],[POD CODE]]</f>
        <v>https://www.hangyun365.com/Shipping?pol_code=CNDLC&amp;pod_code=KRBNP</v>
      </c>
    </row>
    <row r="25" spans="1:5" x14ac:dyDescent="0.3">
      <c r="A25" s="1" t="s">
        <v>1397</v>
      </c>
      <c r="B25" s="1" t="s">
        <v>1421</v>
      </c>
      <c r="C25" s="1" t="str">
        <f t="shared" si="0"/>
        <v>CNDLC</v>
      </c>
      <c r="D25" s="1" t="str">
        <f t="shared" si="1"/>
        <v>TWKHH</v>
      </c>
      <c r="E25" s="1" t="str">
        <f>"https://www.hangyun365.com/Shipping?pol_code="&amp;Port_Optimization_365[[#This Row],[POL CODE]]&amp;"&amp;pod_code="&amp;Port_Optimization_365[[#This Row],[POD CODE]]</f>
        <v>https://www.hangyun365.com/Shipping?pol_code=CNDLC&amp;pod_code=TWKHH</v>
      </c>
    </row>
    <row r="26" spans="1:5" x14ac:dyDescent="0.3">
      <c r="A26" s="1" t="s">
        <v>1397</v>
      </c>
      <c r="B26" s="1" t="s">
        <v>1422</v>
      </c>
      <c r="C26" s="1" t="str">
        <f t="shared" si="0"/>
        <v>CNDLC</v>
      </c>
      <c r="D26" s="1" t="str">
        <f t="shared" si="1"/>
        <v>JPSBS</v>
      </c>
      <c r="E26" s="1" t="str">
        <f>"https://www.hangyun365.com/Shipping?pol_code="&amp;Port_Optimization_365[[#This Row],[POL CODE]]&amp;"&amp;pod_code="&amp;Port_Optimization_365[[#This Row],[POD CODE]]</f>
        <v>https://www.hangyun365.com/Shipping?pol_code=CNDLC&amp;pod_code=JPSBS</v>
      </c>
    </row>
    <row r="27" spans="1:5" x14ac:dyDescent="0.3">
      <c r="A27" s="1" t="s">
        <v>1397</v>
      </c>
      <c r="B27" s="1" t="s">
        <v>1423</v>
      </c>
      <c r="C27" s="1" t="str">
        <f t="shared" si="0"/>
        <v>CNDLC</v>
      </c>
      <c r="D27" s="1" t="str">
        <f t="shared" si="1"/>
        <v>JPKIJ</v>
      </c>
      <c r="E27" s="1" t="str">
        <f>"https://www.hangyun365.com/Shipping?pol_code="&amp;Port_Optimization_365[[#This Row],[POL CODE]]&amp;"&amp;pod_code="&amp;Port_Optimization_365[[#This Row],[POD CODE]]</f>
        <v>https://www.hangyun365.com/Shipping?pol_code=CNDLC&amp;pod_code=JPKIJ</v>
      </c>
    </row>
    <row r="28" spans="1:5" x14ac:dyDescent="0.3">
      <c r="A28" s="1" t="s">
        <v>1397</v>
      </c>
      <c r="B28" s="1" t="s">
        <v>1424</v>
      </c>
      <c r="C28" s="1" t="str">
        <f t="shared" si="0"/>
        <v>CNDLC</v>
      </c>
      <c r="D28" s="1" t="str">
        <f t="shared" si="1"/>
        <v>RUVVO</v>
      </c>
      <c r="E28" s="1" t="str">
        <f>"https://www.hangyun365.com/Shipping?pol_code="&amp;Port_Optimization_365[[#This Row],[POL CODE]]&amp;"&amp;pod_code="&amp;Port_Optimization_365[[#This Row],[POD CODE]]</f>
        <v>https://www.hangyun365.com/Shipping?pol_code=CNDLC&amp;pod_code=RUVVO</v>
      </c>
    </row>
    <row r="29" spans="1:5" x14ac:dyDescent="0.3">
      <c r="A29" s="1" t="s">
        <v>1397</v>
      </c>
      <c r="B29" s="1" t="s">
        <v>1425</v>
      </c>
      <c r="C29" s="1" t="str">
        <f t="shared" si="0"/>
        <v>CNDLC</v>
      </c>
      <c r="D29" s="1" t="str">
        <f t="shared" si="1"/>
        <v>JPIMI</v>
      </c>
      <c r="E29" s="1" t="str">
        <f>"https://www.hangyun365.com/Shipping?pol_code="&amp;Port_Optimization_365[[#This Row],[POL CODE]]&amp;"&amp;pod_code="&amp;Port_Optimization_365[[#This Row],[POD CODE]]</f>
        <v>https://www.hangyun365.com/Shipping?pol_code=CNDLC&amp;pod_code=JPIMI</v>
      </c>
    </row>
    <row r="30" spans="1:5" x14ac:dyDescent="0.3">
      <c r="A30" s="1" t="s">
        <v>1397</v>
      </c>
      <c r="B30" s="1" t="s">
        <v>1426</v>
      </c>
      <c r="C30" s="1" t="str">
        <f t="shared" si="0"/>
        <v>CNDLC</v>
      </c>
      <c r="D30" s="1" t="str">
        <f t="shared" si="1"/>
        <v>JPOSA</v>
      </c>
      <c r="E30" s="1" t="str">
        <f>"https://www.hangyun365.com/Shipping?pol_code="&amp;Port_Optimization_365[[#This Row],[POL CODE]]&amp;"&amp;pod_code="&amp;Port_Optimization_365[[#This Row],[POD CODE]]</f>
        <v>https://www.hangyun365.com/Shipping?pol_code=CNDLC&amp;pod_code=JPOSA</v>
      </c>
    </row>
    <row r="31" spans="1:5" x14ac:dyDescent="0.3">
      <c r="A31" s="1" t="s">
        <v>1397</v>
      </c>
      <c r="B31" s="1" t="s">
        <v>1427</v>
      </c>
      <c r="C31" s="1" t="str">
        <f t="shared" si="0"/>
        <v>CNDLC</v>
      </c>
      <c r="D31" s="1" t="str">
        <f t="shared" si="1"/>
        <v>KRPTK</v>
      </c>
      <c r="E31" s="1" t="str">
        <f>"https://www.hangyun365.com/Shipping?pol_code="&amp;Port_Optimization_365[[#This Row],[POL CODE]]&amp;"&amp;pod_code="&amp;Port_Optimization_365[[#This Row],[POD CODE]]</f>
        <v>https://www.hangyun365.com/Shipping?pol_code=CNDLC&amp;pod_code=KRPTK</v>
      </c>
    </row>
    <row r="32" spans="1:5" x14ac:dyDescent="0.3">
      <c r="A32" s="1" t="s">
        <v>1397</v>
      </c>
      <c r="B32" s="1" t="s">
        <v>1428</v>
      </c>
      <c r="C32" s="1" t="str">
        <f t="shared" si="0"/>
        <v>CNDLC</v>
      </c>
      <c r="D32" s="1" t="str">
        <f t="shared" si="1"/>
        <v>RUVYP</v>
      </c>
      <c r="E32" s="1" t="str">
        <f>"https://www.hangyun365.com/Shipping?pol_code="&amp;Port_Optimization_365[[#This Row],[POL CODE]]&amp;"&amp;pod_code="&amp;Port_Optimization_365[[#This Row],[POD CODE]]</f>
        <v>https://www.hangyun365.com/Shipping?pol_code=CNDLC&amp;pod_code=RUVYP</v>
      </c>
    </row>
    <row r="33" spans="1:5" x14ac:dyDescent="0.3">
      <c r="A33" s="1" t="s">
        <v>1429</v>
      </c>
      <c r="B33" s="1" t="s">
        <v>1430</v>
      </c>
      <c r="C33" s="1" t="str">
        <f t="shared" si="0"/>
        <v>CNLYG</v>
      </c>
      <c r="D33" s="1" t="str">
        <f t="shared" si="1"/>
        <v>CAVAN</v>
      </c>
      <c r="E33" s="1" t="str">
        <f>"https://www.hangyun365.com/Shipping?pol_code="&amp;Port_Optimization_365[[#This Row],[POL CODE]]&amp;"&amp;pod_code="&amp;Port_Optimization_365[[#This Row],[POD CODE]]</f>
        <v>https://www.hangyun365.com/Shipping?pol_code=CNLYG&amp;pod_code=CAVAN</v>
      </c>
    </row>
    <row r="34" spans="1:5" x14ac:dyDescent="0.3">
      <c r="A34" s="1" t="s">
        <v>1429</v>
      </c>
      <c r="B34" s="1" t="s">
        <v>1403</v>
      </c>
      <c r="C34" s="1" t="str">
        <f t="shared" si="0"/>
        <v>CNLYG</v>
      </c>
      <c r="D34" s="1" t="str">
        <f t="shared" si="1"/>
        <v>AEJEA</v>
      </c>
      <c r="E34" s="1" t="str">
        <f>"https://www.hangyun365.com/Shipping?pol_code="&amp;Port_Optimization_365[[#This Row],[POL CODE]]&amp;"&amp;pod_code="&amp;Port_Optimization_365[[#This Row],[POD CODE]]</f>
        <v>https://www.hangyun365.com/Shipping?pol_code=CNLYG&amp;pod_code=AEJEA</v>
      </c>
    </row>
    <row r="35" spans="1:5" x14ac:dyDescent="0.3">
      <c r="A35" s="1" t="s">
        <v>1429</v>
      </c>
      <c r="B35" s="1" t="s">
        <v>1404</v>
      </c>
      <c r="C35" s="1" t="str">
        <f t="shared" si="0"/>
        <v>CNLYG</v>
      </c>
      <c r="D35" s="1" t="str">
        <f t="shared" si="1"/>
        <v>VNSGN</v>
      </c>
      <c r="E35" s="1" t="str">
        <f>"https://www.hangyun365.com/Shipping?pol_code="&amp;Port_Optimization_365[[#This Row],[POL CODE]]&amp;"&amp;pod_code="&amp;Port_Optimization_365[[#This Row],[POD CODE]]</f>
        <v>https://www.hangyun365.com/Shipping?pol_code=CNLYG&amp;pod_code=VNSGN</v>
      </c>
    </row>
    <row r="36" spans="1:5" x14ac:dyDescent="0.3">
      <c r="A36" s="1" t="s">
        <v>1429</v>
      </c>
      <c r="B36" s="1" t="s">
        <v>1407</v>
      </c>
      <c r="C36" s="1" t="str">
        <f t="shared" si="0"/>
        <v>CNLYG</v>
      </c>
      <c r="D36" s="1" t="str">
        <f t="shared" si="1"/>
        <v>VNHPH</v>
      </c>
      <c r="E36" s="1" t="str">
        <f>"https://www.hangyun365.com/Shipping?pol_code="&amp;Port_Optimization_365[[#This Row],[POL CODE]]&amp;"&amp;pod_code="&amp;Port_Optimization_365[[#This Row],[POD CODE]]</f>
        <v>https://www.hangyun365.com/Shipping?pol_code=CNLYG&amp;pod_code=VNHPH</v>
      </c>
    </row>
    <row r="37" spans="1:5" x14ac:dyDescent="0.3">
      <c r="A37" s="1" t="s">
        <v>1429</v>
      </c>
      <c r="B37" s="1" t="s">
        <v>1406</v>
      </c>
      <c r="C37" s="1" t="str">
        <f t="shared" si="0"/>
        <v>CNLYG</v>
      </c>
      <c r="D37" s="1" t="str">
        <f t="shared" si="1"/>
        <v>IDJKT</v>
      </c>
      <c r="E37" s="1" t="str">
        <f>"https://www.hangyun365.com/Shipping?pol_code="&amp;Port_Optimization_365[[#This Row],[POL CODE]]&amp;"&amp;pod_code="&amp;Port_Optimization_365[[#This Row],[POD CODE]]</f>
        <v>https://www.hangyun365.com/Shipping?pol_code=CNLYG&amp;pod_code=IDJKT</v>
      </c>
    </row>
    <row r="38" spans="1:5" x14ac:dyDescent="0.3">
      <c r="A38" s="1" t="s">
        <v>1429</v>
      </c>
      <c r="B38" s="1" t="s">
        <v>1408</v>
      </c>
      <c r="C38" s="1" t="str">
        <f t="shared" si="0"/>
        <v>CNLYG</v>
      </c>
      <c r="D38" s="1" t="str">
        <f t="shared" si="1"/>
        <v>THLCH</v>
      </c>
      <c r="E38" s="1" t="str">
        <f>"https://www.hangyun365.com/Shipping?pol_code="&amp;Port_Optimization_365[[#This Row],[POL CODE]]&amp;"&amp;pod_code="&amp;Port_Optimization_365[[#This Row],[POD CODE]]</f>
        <v>https://www.hangyun365.com/Shipping?pol_code=CNLYG&amp;pod_code=THLCH</v>
      </c>
    </row>
    <row r="39" spans="1:5" x14ac:dyDescent="0.3">
      <c r="A39" s="1" t="s">
        <v>1429</v>
      </c>
      <c r="B39" s="1" t="s">
        <v>1411</v>
      </c>
      <c r="C39" s="1" t="str">
        <f t="shared" si="0"/>
        <v>CNLYG</v>
      </c>
      <c r="D39" s="1" t="str">
        <f t="shared" si="1"/>
        <v>SGSIN</v>
      </c>
      <c r="E39" s="1" t="str">
        <f>"https://www.hangyun365.com/Shipping?pol_code="&amp;Port_Optimization_365[[#This Row],[POL CODE]]&amp;"&amp;pod_code="&amp;Port_Optimization_365[[#This Row],[POD CODE]]</f>
        <v>https://www.hangyun365.com/Shipping?pol_code=CNLYG&amp;pod_code=SGSIN</v>
      </c>
    </row>
    <row r="40" spans="1:5" x14ac:dyDescent="0.3">
      <c r="A40" s="1" t="s">
        <v>1429</v>
      </c>
      <c r="B40" s="1" t="s">
        <v>1417</v>
      </c>
      <c r="C40" s="1" t="str">
        <f t="shared" si="0"/>
        <v>CNLYG</v>
      </c>
      <c r="D40" s="1" t="str">
        <f t="shared" si="1"/>
        <v>KRPUS</v>
      </c>
      <c r="E40" s="1" t="str">
        <f>"https://www.hangyun365.com/Shipping?pol_code="&amp;Port_Optimization_365[[#This Row],[POL CODE]]&amp;"&amp;pod_code="&amp;Port_Optimization_365[[#This Row],[POD CODE]]</f>
        <v>https://www.hangyun365.com/Shipping?pol_code=CNLYG&amp;pod_code=KRPUS</v>
      </c>
    </row>
    <row r="41" spans="1:5" x14ac:dyDescent="0.3">
      <c r="A41" s="1" t="s">
        <v>1429</v>
      </c>
      <c r="B41" s="1" t="s">
        <v>1421</v>
      </c>
      <c r="C41" s="1" t="str">
        <f t="shared" si="0"/>
        <v>CNLYG</v>
      </c>
      <c r="D41" s="1" t="str">
        <f t="shared" si="1"/>
        <v>TWKHH</v>
      </c>
      <c r="E41" s="1" t="str">
        <f>"https://www.hangyun365.com/Shipping?pol_code="&amp;Port_Optimization_365[[#This Row],[POL CODE]]&amp;"&amp;pod_code="&amp;Port_Optimization_365[[#This Row],[POD CODE]]</f>
        <v>https://www.hangyun365.com/Shipping?pol_code=CNLYG&amp;pod_code=TWKHH</v>
      </c>
    </row>
    <row r="42" spans="1:5" x14ac:dyDescent="0.3">
      <c r="A42" s="1" t="s">
        <v>1429</v>
      </c>
      <c r="B42" s="1" t="s">
        <v>1424</v>
      </c>
      <c r="C42" s="1" t="str">
        <f t="shared" si="0"/>
        <v>CNLYG</v>
      </c>
      <c r="D42" s="1" t="str">
        <f t="shared" si="1"/>
        <v>RUVVO</v>
      </c>
      <c r="E42" s="1" t="str">
        <f>"https://www.hangyun365.com/Shipping?pol_code="&amp;Port_Optimization_365[[#This Row],[POL CODE]]&amp;"&amp;pod_code="&amp;Port_Optimization_365[[#This Row],[POD CODE]]</f>
        <v>https://www.hangyun365.com/Shipping?pol_code=CNLYG&amp;pod_code=RUVVO</v>
      </c>
    </row>
    <row r="43" spans="1:5" x14ac:dyDescent="0.3">
      <c r="A43" s="1" t="s">
        <v>1429</v>
      </c>
      <c r="B43" s="1" t="s">
        <v>1431</v>
      </c>
      <c r="C43" s="1" t="str">
        <f t="shared" si="0"/>
        <v>CNLYG</v>
      </c>
      <c r="D43" s="1" t="str">
        <f t="shared" si="1"/>
        <v>JPTYO</v>
      </c>
      <c r="E43" s="1" t="str">
        <f>"https://www.hangyun365.com/Shipping?pol_code="&amp;Port_Optimization_365[[#This Row],[POL CODE]]&amp;"&amp;pod_code="&amp;Port_Optimization_365[[#This Row],[POD CODE]]</f>
        <v>https://www.hangyun365.com/Shipping?pol_code=CNLYG&amp;pod_code=JPTYO</v>
      </c>
    </row>
    <row r="44" spans="1:5" x14ac:dyDescent="0.3">
      <c r="A44" s="1" t="s">
        <v>1429</v>
      </c>
      <c r="B44" s="1" t="s">
        <v>1432</v>
      </c>
      <c r="C44" s="1" t="str">
        <f t="shared" si="0"/>
        <v>CNLYG</v>
      </c>
      <c r="D44" s="1" t="str">
        <f t="shared" si="1"/>
        <v>KRKWA</v>
      </c>
      <c r="E44" s="1" t="str">
        <f>"https://www.hangyun365.com/Shipping?pol_code="&amp;Port_Optimization_365[[#This Row],[POL CODE]]&amp;"&amp;pod_code="&amp;Port_Optimization_365[[#This Row],[POD CODE]]</f>
        <v>https://www.hangyun365.com/Shipping?pol_code=CNLYG&amp;pod_code=KRKWA</v>
      </c>
    </row>
    <row r="45" spans="1:5" x14ac:dyDescent="0.3">
      <c r="A45" s="1" t="s">
        <v>1429</v>
      </c>
      <c r="B45" s="1" t="s">
        <v>1433</v>
      </c>
      <c r="C45" s="1" t="str">
        <f t="shared" si="0"/>
        <v>CNLYG</v>
      </c>
      <c r="D45" s="1" t="str">
        <f t="shared" si="1"/>
        <v>KRINC</v>
      </c>
      <c r="E45" s="1" t="str">
        <f>"https://www.hangyun365.com/Shipping?pol_code="&amp;Port_Optimization_365[[#This Row],[POL CODE]]&amp;"&amp;pod_code="&amp;Port_Optimization_365[[#This Row],[POD CODE]]</f>
        <v>https://www.hangyun365.com/Shipping?pol_code=CNLYG&amp;pod_code=KRINC</v>
      </c>
    </row>
    <row r="46" spans="1:5" x14ac:dyDescent="0.3">
      <c r="A46" s="1" t="s">
        <v>1429</v>
      </c>
      <c r="B46" s="1" t="s">
        <v>1428</v>
      </c>
      <c r="C46" s="1" t="str">
        <f t="shared" si="0"/>
        <v>CNLYG</v>
      </c>
      <c r="D46" s="1" t="str">
        <f t="shared" si="1"/>
        <v>RUVYP</v>
      </c>
      <c r="E46" s="1" t="str">
        <f>"https://www.hangyun365.com/Shipping?pol_code="&amp;Port_Optimization_365[[#This Row],[POL CODE]]&amp;"&amp;pod_code="&amp;Port_Optimization_365[[#This Row],[POD CODE]]</f>
        <v>https://www.hangyun365.com/Shipping?pol_code=CNLYG&amp;pod_code=RUVYP</v>
      </c>
    </row>
    <row r="47" spans="1:5" x14ac:dyDescent="0.3">
      <c r="A47" s="1" t="s">
        <v>1429</v>
      </c>
      <c r="B47" s="1" t="s">
        <v>1419</v>
      </c>
      <c r="C47" s="1" t="str">
        <f t="shared" si="0"/>
        <v>CNLYG</v>
      </c>
      <c r="D47" s="1" t="str">
        <f t="shared" si="1"/>
        <v>JPHTD</v>
      </c>
      <c r="E47" s="1" t="str">
        <f>"https://www.hangyun365.com/Shipping?pol_code="&amp;Port_Optimization_365[[#This Row],[POL CODE]]&amp;"&amp;pod_code="&amp;Port_Optimization_365[[#This Row],[POD CODE]]</f>
        <v>https://www.hangyun365.com/Shipping?pol_code=CNLYG&amp;pod_code=JPHTD</v>
      </c>
    </row>
    <row r="48" spans="1:5" x14ac:dyDescent="0.3">
      <c r="A48" s="1" t="s">
        <v>1434</v>
      </c>
      <c r="B48" s="1" t="s">
        <v>1435</v>
      </c>
      <c r="C48" s="1" t="str">
        <f t="shared" si="0"/>
        <v>CNNGB</v>
      </c>
      <c r="D48" s="1" t="str">
        <f t="shared" si="1"/>
        <v>USLGB</v>
      </c>
      <c r="E48" s="1" t="str">
        <f>"https://www.hangyun365.com/Shipping?pol_code="&amp;Port_Optimization_365[[#This Row],[POL CODE]]&amp;"&amp;pod_code="&amp;Port_Optimization_365[[#This Row],[POD CODE]]</f>
        <v>https://www.hangyun365.com/Shipping?pol_code=CNNGB&amp;pod_code=USLGB</v>
      </c>
    </row>
    <row r="49" spans="1:5" x14ac:dyDescent="0.3">
      <c r="A49" s="1" t="s">
        <v>1434</v>
      </c>
      <c r="B49" s="1" t="s">
        <v>1436</v>
      </c>
      <c r="C49" s="1" t="str">
        <f t="shared" si="0"/>
        <v>CNNGB</v>
      </c>
      <c r="D49" s="1" t="str">
        <f t="shared" si="1"/>
        <v>USLAX</v>
      </c>
      <c r="E49" s="1" t="str">
        <f>"https://www.hangyun365.com/Shipping?pol_code="&amp;Port_Optimization_365[[#This Row],[POL CODE]]&amp;"&amp;pod_code="&amp;Port_Optimization_365[[#This Row],[POD CODE]]</f>
        <v>https://www.hangyun365.com/Shipping?pol_code=CNNGB&amp;pod_code=USLAX</v>
      </c>
    </row>
    <row r="50" spans="1:5" x14ac:dyDescent="0.3">
      <c r="A50" s="1" t="s">
        <v>1434</v>
      </c>
      <c r="B50" s="1" t="s">
        <v>1437</v>
      </c>
      <c r="C50" s="1" t="str">
        <f t="shared" si="0"/>
        <v>CNNGB</v>
      </c>
      <c r="D50" s="1" t="str">
        <f t="shared" si="1"/>
        <v>USTIW</v>
      </c>
      <c r="E50" s="1" t="str">
        <f>"https://www.hangyun365.com/Shipping?pol_code="&amp;Port_Optimization_365[[#This Row],[POL CODE]]&amp;"&amp;pod_code="&amp;Port_Optimization_365[[#This Row],[POD CODE]]</f>
        <v>https://www.hangyun365.com/Shipping?pol_code=CNNGB&amp;pod_code=USTIW</v>
      </c>
    </row>
    <row r="51" spans="1:5" x14ac:dyDescent="0.3">
      <c r="A51" s="1" t="s">
        <v>1434</v>
      </c>
      <c r="B51" s="1" t="s">
        <v>1438</v>
      </c>
      <c r="C51" s="1" t="str">
        <f t="shared" si="0"/>
        <v>CNNGB</v>
      </c>
      <c r="D51" s="1" t="str">
        <f t="shared" si="1"/>
        <v>USSEA</v>
      </c>
      <c r="E51" s="1" t="str">
        <f>"https://www.hangyun365.com/Shipping?pol_code="&amp;Port_Optimization_365[[#This Row],[POL CODE]]&amp;"&amp;pod_code="&amp;Port_Optimization_365[[#This Row],[POD CODE]]</f>
        <v>https://www.hangyun365.com/Shipping?pol_code=CNNGB&amp;pod_code=USSEA</v>
      </c>
    </row>
    <row r="52" spans="1:5" x14ac:dyDescent="0.3">
      <c r="A52" s="1" t="s">
        <v>1434</v>
      </c>
      <c r="B52" s="1" t="s">
        <v>1439</v>
      </c>
      <c r="C52" s="1" t="str">
        <f t="shared" si="0"/>
        <v>CNNGB</v>
      </c>
      <c r="D52" s="1" t="str">
        <f t="shared" si="1"/>
        <v>USSAV</v>
      </c>
      <c r="E52" s="1" t="str">
        <f>"https://www.hangyun365.com/Shipping?pol_code="&amp;Port_Optimization_365[[#This Row],[POL CODE]]&amp;"&amp;pod_code="&amp;Port_Optimization_365[[#This Row],[POD CODE]]</f>
        <v>https://www.hangyun365.com/Shipping?pol_code=CNNGB&amp;pod_code=USSAV</v>
      </c>
    </row>
    <row r="53" spans="1:5" x14ac:dyDescent="0.3">
      <c r="A53" s="1" t="s">
        <v>1434</v>
      </c>
      <c r="B53" s="1" t="s">
        <v>1440</v>
      </c>
      <c r="C53" s="1" t="str">
        <f t="shared" si="0"/>
        <v>CNNGB</v>
      </c>
      <c r="D53" s="1" t="str">
        <f t="shared" si="1"/>
        <v>USHOU</v>
      </c>
      <c r="E53" s="1" t="str">
        <f>"https://www.hangyun365.com/Shipping?pol_code="&amp;Port_Optimization_365[[#This Row],[POL CODE]]&amp;"&amp;pod_code="&amp;Port_Optimization_365[[#This Row],[POD CODE]]</f>
        <v>https://www.hangyun365.com/Shipping?pol_code=CNNGB&amp;pod_code=USHOU</v>
      </c>
    </row>
    <row r="54" spans="1:5" x14ac:dyDescent="0.3">
      <c r="A54" s="1" t="s">
        <v>1434</v>
      </c>
      <c r="B54" s="1" t="s">
        <v>1441</v>
      </c>
      <c r="C54" s="1" t="str">
        <f t="shared" si="0"/>
        <v>CNNGB</v>
      </c>
      <c r="D54" s="1" t="str">
        <f t="shared" si="1"/>
        <v>USNYC</v>
      </c>
      <c r="E54" s="1" t="str">
        <f>"https://www.hangyun365.com/Shipping?pol_code="&amp;Port_Optimization_365[[#This Row],[POL CODE]]&amp;"&amp;pod_code="&amp;Port_Optimization_365[[#This Row],[POD CODE]]</f>
        <v>https://www.hangyun365.com/Shipping?pol_code=CNNGB&amp;pod_code=USNYC</v>
      </c>
    </row>
    <row r="55" spans="1:5" x14ac:dyDescent="0.3">
      <c r="A55" s="1" t="s">
        <v>1434</v>
      </c>
      <c r="B55" s="1" t="s">
        <v>1430</v>
      </c>
      <c r="C55" s="1" t="str">
        <f t="shared" si="0"/>
        <v>CNNGB</v>
      </c>
      <c r="D55" s="1" t="str">
        <f t="shared" si="1"/>
        <v>CAVAN</v>
      </c>
      <c r="E55" s="1" t="str">
        <f>"https://www.hangyun365.com/Shipping?pol_code="&amp;Port_Optimization_365[[#This Row],[POL CODE]]&amp;"&amp;pod_code="&amp;Port_Optimization_365[[#This Row],[POD CODE]]</f>
        <v>https://www.hangyun365.com/Shipping?pol_code=CNNGB&amp;pod_code=CAVAN</v>
      </c>
    </row>
    <row r="56" spans="1:5" x14ac:dyDescent="0.3">
      <c r="A56" s="1" t="s">
        <v>1434</v>
      </c>
      <c r="B56" s="1" t="s">
        <v>1442</v>
      </c>
      <c r="C56" s="1" t="str">
        <f t="shared" si="0"/>
        <v>CNNGB</v>
      </c>
      <c r="D56" s="1" t="str">
        <f t="shared" si="1"/>
        <v>CAPRR</v>
      </c>
      <c r="E56" s="1" t="str">
        <f>"https://www.hangyun365.com/Shipping?pol_code="&amp;Port_Optimization_365[[#This Row],[POL CODE]]&amp;"&amp;pod_code="&amp;Port_Optimization_365[[#This Row],[POD CODE]]</f>
        <v>https://www.hangyun365.com/Shipping?pol_code=CNNGB&amp;pod_code=CAPRR</v>
      </c>
    </row>
    <row r="57" spans="1:5" x14ac:dyDescent="0.3">
      <c r="A57" s="1" t="s">
        <v>1434</v>
      </c>
      <c r="B57" s="1" t="s">
        <v>1398</v>
      </c>
      <c r="C57" s="1" t="str">
        <f t="shared" si="0"/>
        <v>CNNGB</v>
      </c>
      <c r="D57" s="1" t="str">
        <f t="shared" si="1"/>
        <v>MXZLO</v>
      </c>
      <c r="E57" s="1" t="str">
        <f>"https://www.hangyun365.com/Shipping?pol_code="&amp;Port_Optimization_365[[#This Row],[POL CODE]]&amp;"&amp;pod_code="&amp;Port_Optimization_365[[#This Row],[POD CODE]]</f>
        <v>https://www.hangyun365.com/Shipping?pol_code=CNNGB&amp;pod_code=MXZLO</v>
      </c>
    </row>
    <row r="58" spans="1:5" x14ac:dyDescent="0.3">
      <c r="A58" s="1" t="s">
        <v>1434</v>
      </c>
      <c r="B58" s="1" t="s">
        <v>1443</v>
      </c>
      <c r="C58" s="1" t="str">
        <f t="shared" si="0"/>
        <v>CNNGB</v>
      </c>
      <c r="D58" s="1" t="str">
        <f t="shared" si="1"/>
        <v>MXLZC</v>
      </c>
      <c r="E58" s="1" t="str">
        <f>"https://www.hangyun365.com/Shipping?pol_code="&amp;Port_Optimization_365[[#This Row],[POL CODE]]&amp;"&amp;pod_code="&amp;Port_Optimization_365[[#This Row],[POD CODE]]</f>
        <v>https://www.hangyun365.com/Shipping?pol_code=CNNGB&amp;pod_code=MXLZC</v>
      </c>
    </row>
    <row r="59" spans="1:5" x14ac:dyDescent="0.3">
      <c r="A59" s="1" t="s">
        <v>1434</v>
      </c>
      <c r="B59" s="1" t="s">
        <v>1400</v>
      </c>
      <c r="C59" s="1" t="str">
        <f t="shared" si="0"/>
        <v>CNNGB</v>
      </c>
      <c r="D59" s="1" t="str">
        <f t="shared" si="1"/>
        <v>NLRTM</v>
      </c>
      <c r="E59" s="1" t="str">
        <f>"https://www.hangyun365.com/Shipping?pol_code="&amp;Port_Optimization_365[[#This Row],[POL CODE]]&amp;"&amp;pod_code="&amp;Port_Optimization_365[[#This Row],[POD CODE]]</f>
        <v>https://www.hangyun365.com/Shipping?pol_code=CNNGB&amp;pod_code=NLRTM</v>
      </c>
    </row>
    <row r="60" spans="1:5" x14ac:dyDescent="0.3">
      <c r="A60" s="1" t="s">
        <v>1434</v>
      </c>
      <c r="B60" s="1" t="s">
        <v>1444</v>
      </c>
      <c r="C60" s="1" t="str">
        <f t="shared" si="0"/>
        <v>CNNGB</v>
      </c>
      <c r="D60" s="1" t="str">
        <f t="shared" si="1"/>
        <v>RULED</v>
      </c>
      <c r="E60" s="1" t="str">
        <f>"https://www.hangyun365.com/Shipping?pol_code="&amp;Port_Optimization_365[[#This Row],[POL CODE]]&amp;"&amp;pod_code="&amp;Port_Optimization_365[[#This Row],[POD CODE]]</f>
        <v>https://www.hangyun365.com/Shipping?pol_code=CNNGB&amp;pod_code=RULED</v>
      </c>
    </row>
    <row r="61" spans="1:5" x14ac:dyDescent="0.3">
      <c r="A61" s="1" t="s">
        <v>1434</v>
      </c>
      <c r="B61" s="1" t="s">
        <v>1399</v>
      </c>
      <c r="C61" s="1" t="str">
        <f t="shared" si="0"/>
        <v>CNNGB</v>
      </c>
      <c r="D61" s="1" t="str">
        <f t="shared" si="1"/>
        <v>GBFXT</v>
      </c>
      <c r="E61" s="1" t="str">
        <f>"https://www.hangyun365.com/Shipping?pol_code="&amp;Port_Optimization_365[[#This Row],[POL CODE]]&amp;"&amp;pod_code="&amp;Port_Optimization_365[[#This Row],[POD CODE]]</f>
        <v>https://www.hangyun365.com/Shipping?pol_code=CNNGB&amp;pod_code=GBFXT</v>
      </c>
    </row>
    <row r="62" spans="1:5" x14ac:dyDescent="0.3">
      <c r="A62" s="1" t="s">
        <v>1434</v>
      </c>
      <c r="B62" s="1" t="s">
        <v>1445</v>
      </c>
      <c r="C62" s="1" t="str">
        <f t="shared" si="0"/>
        <v>CNNGB</v>
      </c>
      <c r="D62" s="1" t="str">
        <f t="shared" si="1"/>
        <v>GBSOU</v>
      </c>
      <c r="E62" s="1" t="str">
        <f>"https://www.hangyun365.com/Shipping?pol_code="&amp;Port_Optimization_365[[#This Row],[POL CODE]]&amp;"&amp;pod_code="&amp;Port_Optimization_365[[#This Row],[POD CODE]]</f>
        <v>https://www.hangyun365.com/Shipping?pol_code=CNNGB&amp;pod_code=GBSOU</v>
      </c>
    </row>
    <row r="63" spans="1:5" x14ac:dyDescent="0.3">
      <c r="A63" s="1" t="s">
        <v>1434</v>
      </c>
      <c r="B63" s="1" t="s">
        <v>1446</v>
      </c>
      <c r="C63" s="1" t="str">
        <f t="shared" si="0"/>
        <v>CNNGB</v>
      </c>
      <c r="D63" s="1" t="str">
        <f t="shared" si="1"/>
        <v>DEWVN</v>
      </c>
      <c r="E63" s="1" t="str">
        <f>"https://www.hangyun365.com/Shipping?pol_code="&amp;Port_Optimization_365[[#This Row],[POL CODE]]&amp;"&amp;pod_code="&amp;Port_Optimization_365[[#This Row],[POD CODE]]</f>
        <v>https://www.hangyun365.com/Shipping?pol_code=CNNGB&amp;pod_code=DEWVN</v>
      </c>
    </row>
    <row r="64" spans="1:5" x14ac:dyDescent="0.3">
      <c r="A64" s="1" t="s">
        <v>1434</v>
      </c>
      <c r="B64" s="1" t="s">
        <v>1447</v>
      </c>
      <c r="C64" s="1" t="str">
        <f t="shared" si="0"/>
        <v>CNNGB</v>
      </c>
      <c r="D64" s="1" t="str">
        <f t="shared" si="1"/>
        <v>ESVLC</v>
      </c>
      <c r="E64" s="1" t="str">
        <f>"https://www.hangyun365.com/Shipping?pol_code="&amp;Port_Optimization_365[[#This Row],[POL CODE]]&amp;"&amp;pod_code="&amp;Port_Optimization_365[[#This Row],[POD CODE]]</f>
        <v>https://www.hangyun365.com/Shipping?pol_code=CNNGB&amp;pod_code=ESVLC</v>
      </c>
    </row>
    <row r="65" spans="1:5" x14ac:dyDescent="0.3">
      <c r="A65" s="1" t="s">
        <v>1434</v>
      </c>
      <c r="B65" s="1" t="s">
        <v>1448</v>
      </c>
      <c r="C65" s="1" t="str">
        <f t="shared" si="0"/>
        <v>CNNGB</v>
      </c>
      <c r="D65" s="1" t="str">
        <f t="shared" si="1"/>
        <v>SIKOP</v>
      </c>
      <c r="E65" s="1" t="str">
        <f>"https://www.hangyun365.com/Shipping?pol_code="&amp;Port_Optimization_365[[#This Row],[POL CODE]]&amp;"&amp;pod_code="&amp;Port_Optimization_365[[#This Row],[POD CODE]]</f>
        <v>https://www.hangyun365.com/Shipping?pol_code=CNNGB&amp;pod_code=SIKOP</v>
      </c>
    </row>
    <row r="66" spans="1:5" x14ac:dyDescent="0.3">
      <c r="A66" s="1" t="s">
        <v>1434</v>
      </c>
      <c r="B66" s="1" t="s">
        <v>1401</v>
      </c>
      <c r="C66" s="1" t="str">
        <f t="shared" ref="C66:C129" si="2">_xlfn.TEXTBEFORE(_xlfn.TEXTAFTER(A66,"|"),"|")</f>
        <v>CNNGB</v>
      </c>
      <c r="D66" s="1" t="str">
        <f t="shared" ref="D66:D129" si="3">_xlfn.TEXTBEFORE(_xlfn.TEXTAFTER(B66,"|"),"|")</f>
        <v>TRIST</v>
      </c>
      <c r="E66" s="1" t="str">
        <f>"https://www.hangyun365.com/Shipping?pol_code="&amp;Port_Optimization_365[[#This Row],[POL CODE]]&amp;"&amp;pod_code="&amp;Port_Optimization_365[[#This Row],[POD CODE]]</f>
        <v>https://www.hangyun365.com/Shipping?pol_code=CNNGB&amp;pod_code=TRIST</v>
      </c>
    </row>
    <row r="67" spans="1:5" x14ac:dyDescent="0.3">
      <c r="A67" s="1" t="s">
        <v>1434</v>
      </c>
      <c r="B67" s="1" t="s">
        <v>1449</v>
      </c>
      <c r="C67" s="1" t="str">
        <f t="shared" si="2"/>
        <v>CNNGB</v>
      </c>
      <c r="D67" s="1" t="str">
        <f t="shared" si="3"/>
        <v>RUNVS</v>
      </c>
      <c r="E67" s="1" t="str">
        <f>"https://www.hangyun365.com/Shipping?pol_code="&amp;Port_Optimization_365[[#This Row],[POL CODE]]&amp;"&amp;pod_code="&amp;Port_Optimization_365[[#This Row],[POD CODE]]</f>
        <v>https://www.hangyun365.com/Shipping?pol_code=CNNGB&amp;pod_code=RUNVS</v>
      </c>
    </row>
    <row r="68" spans="1:5" x14ac:dyDescent="0.3">
      <c r="A68" s="1" t="s">
        <v>1434</v>
      </c>
      <c r="B68" s="1" t="s">
        <v>1402</v>
      </c>
      <c r="C68" s="1" t="str">
        <f t="shared" si="2"/>
        <v>CNNGB</v>
      </c>
      <c r="D68" s="1" t="str">
        <f t="shared" si="3"/>
        <v>INNSA</v>
      </c>
      <c r="E68" s="1" t="str">
        <f>"https://www.hangyun365.com/Shipping?pol_code="&amp;Port_Optimization_365[[#This Row],[POL CODE]]&amp;"&amp;pod_code="&amp;Port_Optimization_365[[#This Row],[POD CODE]]</f>
        <v>https://www.hangyun365.com/Shipping?pol_code=CNNGB&amp;pod_code=INNSA</v>
      </c>
    </row>
    <row r="69" spans="1:5" x14ac:dyDescent="0.3">
      <c r="A69" s="1" t="s">
        <v>1434</v>
      </c>
      <c r="B69" s="1" t="s">
        <v>1450</v>
      </c>
      <c r="C69" s="1" t="str">
        <f t="shared" si="2"/>
        <v>CNNGB</v>
      </c>
      <c r="D69" s="1" t="str">
        <f t="shared" si="3"/>
        <v>INMAA</v>
      </c>
      <c r="E69" s="1" t="str">
        <f>"https://www.hangyun365.com/Shipping?pol_code="&amp;Port_Optimization_365[[#This Row],[POL CODE]]&amp;"&amp;pod_code="&amp;Port_Optimization_365[[#This Row],[POD CODE]]</f>
        <v>https://www.hangyun365.com/Shipping?pol_code=CNNGB&amp;pod_code=INMAA</v>
      </c>
    </row>
    <row r="70" spans="1:5" x14ac:dyDescent="0.3">
      <c r="A70" s="1" t="s">
        <v>1434</v>
      </c>
      <c r="B70" s="1" t="s">
        <v>1451</v>
      </c>
      <c r="C70" s="1" t="str">
        <f t="shared" si="2"/>
        <v>CNNGB</v>
      </c>
      <c r="D70" s="1" t="str">
        <f t="shared" si="3"/>
        <v>INMUN</v>
      </c>
      <c r="E70" s="1" t="str">
        <f>"https://www.hangyun365.com/Shipping?pol_code="&amp;Port_Optimization_365[[#This Row],[POL CODE]]&amp;"&amp;pod_code="&amp;Port_Optimization_365[[#This Row],[POD CODE]]</f>
        <v>https://www.hangyun365.com/Shipping?pol_code=CNNGB&amp;pod_code=INMUN</v>
      </c>
    </row>
    <row r="71" spans="1:5" x14ac:dyDescent="0.3">
      <c r="A71" s="1" t="s">
        <v>1434</v>
      </c>
      <c r="B71" s="1" t="s">
        <v>1452</v>
      </c>
      <c r="C71" s="1" t="str">
        <f t="shared" si="2"/>
        <v>CNNGB</v>
      </c>
      <c r="D71" s="1" t="str">
        <f t="shared" si="3"/>
        <v>PKKHI</v>
      </c>
      <c r="E71" s="1" t="str">
        <f>"https://www.hangyun365.com/Shipping?pol_code="&amp;Port_Optimization_365[[#This Row],[POL CODE]]&amp;"&amp;pod_code="&amp;Port_Optimization_365[[#This Row],[POD CODE]]</f>
        <v>https://www.hangyun365.com/Shipping?pol_code=CNNGB&amp;pod_code=PKKHI</v>
      </c>
    </row>
    <row r="72" spans="1:5" x14ac:dyDescent="0.3">
      <c r="A72" s="1" t="s">
        <v>1434</v>
      </c>
      <c r="B72" s="1" t="s">
        <v>1453</v>
      </c>
      <c r="C72" s="1" t="str">
        <f t="shared" si="2"/>
        <v>CNNGB</v>
      </c>
      <c r="D72" s="1" t="str">
        <f t="shared" si="3"/>
        <v>INKAT</v>
      </c>
      <c r="E72" s="1" t="str">
        <f>"https://www.hangyun365.com/Shipping?pol_code="&amp;Port_Optimization_365[[#This Row],[POL CODE]]&amp;"&amp;pod_code="&amp;Port_Optimization_365[[#This Row],[POD CODE]]</f>
        <v>https://www.hangyun365.com/Shipping?pol_code=CNNGB&amp;pod_code=INKAT</v>
      </c>
    </row>
    <row r="73" spans="1:5" x14ac:dyDescent="0.3">
      <c r="A73" s="1" t="s">
        <v>1434</v>
      </c>
      <c r="B73" s="1" t="s">
        <v>1454</v>
      </c>
      <c r="C73" s="1" t="str">
        <f t="shared" si="2"/>
        <v>CNNGB</v>
      </c>
      <c r="D73" s="1" t="str">
        <f t="shared" si="3"/>
        <v>LKCMB</v>
      </c>
      <c r="E73" s="1" t="str">
        <f>"https://www.hangyun365.com/Shipping?pol_code="&amp;Port_Optimization_365[[#This Row],[POL CODE]]&amp;"&amp;pod_code="&amp;Port_Optimization_365[[#This Row],[POD CODE]]</f>
        <v>https://www.hangyun365.com/Shipping?pol_code=CNNGB&amp;pod_code=LKCMB</v>
      </c>
    </row>
    <row r="74" spans="1:5" x14ac:dyDescent="0.3">
      <c r="A74" s="1" t="s">
        <v>1434</v>
      </c>
      <c r="B74" s="1" t="s">
        <v>1403</v>
      </c>
      <c r="C74" s="1" t="str">
        <f t="shared" si="2"/>
        <v>CNNGB</v>
      </c>
      <c r="D74" s="1" t="str">
        <f t="shared" si="3"/>
        <v>AEJEA</v>
      </c>
      <c r="E74" s="1" t="str">
        <f>"https://www.hangyun365.com/Shipping?pol_code="&amp;Port_Optimization_365[[#This Row],[POL CODE]]&amp;"&amp;pod_code="&amp;Port_Optimization_365[[#This Row],[POD CODE]]</f>
        <v>https://www.hangyun365.com/Shipping?pol_code=CNNGB&amp;pod_code=AEJEA</v>
      </c>
    </row>
    <row r="75" spans="1:5" x14ac:dyDescent="0.3">
      <c r="A75" s="1" t="s">
        <v>1434</v>
      </c>
      <c r="B75" s="1" t="s">
        <v>1455</v>
      </c>
      <c r="C75" s="1" t="str">
        <f t="shared" si="2"/>
        <v>CNNGB</v>
      </c>
      <c r="D75" s="1" t="str">
        <f t="shared" si="3"/>
        <v>SADMM</v>
      </c>
      <c r="E75" s="1" t="str">
        <f>"https://www.hangyun365.com/Shipping?pol_code="&amp;Port_Optimization_365[[#This Row],[POL CODE]]&amp;"&amp;pod_code="&amp;Port_Optimization_365[[#This Row],[POD CODE]]</f>
        <v>https://www.hangyun365.com/Shipping?pol_code=CNNGB&amp;pod_code=SADMM</v>
      </c>
    </row>
    <row r="76" spans="1:5" x14ac:dyDescent="0.3">
      <c r="A76" s="1" t="s">
        <v>1434</v>
      </c>
      <c r="B76" s="1" t="s">
        <v>1456</v>
      </c>
      <c r="C76" s="1" t="str">
        <f t="shared" si="2"/>
        <v>CNNGB</v>
      </c>
      <c r="D76" s="1" t="str">
        <f t="shared" si="3"/>
        <v>SAJED</v>
      </c>
      <c r="E76" s="1" t="str">
        <f>"https://www.hangyun365.com/Shipping?pol_code="&amp;Port_Optimization_365[[#This Row],[POL CODE]]&amp;"&amp;pod_code="&amp;Port_Optimization_365[[#This Row],[POD CODE]]</f>
        <v>https://www.hangyun365.com/Shipping?pol_code=CNNGB&amp;pod_code=SAJED</v>
      </c>
    </row>
    <row r="77" spans="1:5" x14ac:dyDescent="0.3">
      <c r="A77" s="1" t="s">
        <v>1434</v>
      </c>
      <c r="B77" s="1" t="s">
        <v>1457</v>
      </c>
      <c r="C77" s="1" t="str">
        <f t="shared" si="2"/>
        <v>CNNGB</v>
      </c>
      <c r="D77" s="1" t="str">
        <f t="shared" si="3"/>
        <v>KEMBA</v>
      </c>
      <c r="E77" s="1" t="str">
        <f>"https://www.hangyun365.com/Shipping?pol_code="&amp;Port_Optimization_365[[#This Row],[POL CODE]]&amp;"&amp;pod_code="&amp;Port_Optimization_365[[#This Row],[POD CODE]]</f>
        <v>https://www.hangyun365.com/Shipping?pol_code=CNNGB&amp;pod_code=KEMBA</v>
      </c>
    </row>
    <row r="78" spans="1:5" x14ac:dyDescent="0.3">
      <c r="A78" s="1" t="s">
        <v>1434</v>
      </c>
      <c r="B78" s="1" t="s">
        <v>1458</v>
      </c>
      <c r="C78" s="1" t="str">
        <f t="shared" si="2"/>
        <v>CNNGB</v>
      </c>
      <c r="D78" s="1" t="str">
        <f t="shared" si="3"/>
        <v>ZADUR</v>
      </c>
      <c r="E78" s="1" t="str">
        <f>"https://www.hangyun365.com/Shipping?pol_code="&amp;Port_Optimization_365[[#This Row],[POL CODE]]&amp;"&amp;pod_code="&amp;Port_Optimization_365[[#This Row],[POD CODE]]</f>
        <v>https://www.hangyun365.com/Shipping?pol_code=CNNGB&amp;pod_code=ZADUR</v>
      </c>
    </row>
    <row r="79" spans="1:5" x14ac:dyDescent="0.3">
      <c r="A79" s="1" t="s">
        <v>1434</v>
      </c>
      <c r="B79" s="1" t="s">
        <v>1459</v>
      </c>
      <c r="C79" s="1" t="str">
        <f t="shared" si="2"/>
        <v>CNNGB</v>
      </c>
      <c r="D79" s="1" t="str">
        <f t="shared" si="3"/>
        <v>TZDAR</v>
      </c>
      <c r="E79" s="1" t="str">
        <f>"https://www.hangyun365.com/Shipping?pol_code="&amp;Port_Optimization_365[[#This Row],[POL CODE]]&amp;"&amp;pod_code="&amp;Port_Optimization_365[[#This Row],[POD CODE]]</f>
        <v>https://www.hangyun365.com/Shipping?pol_code=CNNGB&amp;pod_code=TZDAR</v>
      </c>
    </row>
    <row r="80" spans="1:5" x14ac:dyDescent="0.3">
      <c r="A80" s="1" t="s">
        <v>1434</v>
      </c>
      <c r="B80" s="1" t="s">
        <v>1460</v>
      </c>
      <c r="C80" s="1" t="str">
        <f t="shared" si="2"/>
        <v>CNNGB</v>
      </c>
      <c r="D80" s="1" t="str">
        <f t="shared" si="3"/>
        <v>CGPNR</v>
      </c>
      <c r="E80" s="1" t="str">
        <f>"https://www.hangyun365.com/Shipping?pol_code="&amp;Port_Optimization_365[[#This Row],[POL CODE]]&amp;"&amp;pod_code="&amp;Port_Optimization_365[[#This Row],[POD CODE]]</f>
        <v>https://www.hangyun365.com/Shipping?pol_code=CNNGB&amp;pod_code=CGPNR</v>
      </c>
    </row>
    <row r="81" spans="1:5" x14ac:dyDescent="0.3">
      <c r="A81" s="1" t="s">
        <v>1434</v>
      </c>
      <c r="B81" s="1" t="s">
        <v>1461</v>
      </c>
      <c r="C81" s="1" t="str">
        <f t="shared" si="2"/>
        <v>CNNGB</v>
      </c>
      <c r="D81" s="1" t="str">
        <f t="shared" si="3"/>
        <v>GHTEM</v>
      </c>
      <c r="E81" s="1" t="str">
        <f>"https://www.hangyun365.com/Shipping?pol_code="&amp;Port_Optimization_365[[#This Row],[POL CODE]]&amp;"&amp;pod_code="&amp;Port_Optimization_365[[#This Row],[POD CODE]]</f>
        <v>https://www.hangyun365.com/Shipping?pol_code=CNNGB&amp;pod_code=GHTEM</v>
      </c>
    </row>
    <row r="82" spans="1:5" x14ac:dyDescent="0.3">
      <c r="A82" s="1" t="s">
        <v>1434</v>
      </c>
      <c r="B82" s="1" t="s">
        <v>1462</v>
      </c>
      <c r="C82" s="1" t="str">
        <f t="shared" si="2"/>
        <v>CNNGB</v>
      </c>
      <c r="D82" s="1" t="str">
        <f t="shared" si="3"/>
        <v>NGLOS</v>
      </c>
      <c r="E82" s="1" t="str">
        <f>"https://www.hangyun365.com/Shipping?pol_code="&amp;Port_Optimization_365[[#This Row],[POL CODE]]&amp;"&amp;pod_code="&amp;Port_Optimization_365[[#This Row],[POD CODE]]</f>
        <v>https://www.hangyun365.com/Shipping?pol_code=CNNGB&amp;pod_code=NGLOS</v>
      </c>
    </row>
    <row r="83" spans="1:5" x14ac:dyDescent="0.3">
      <c r="A83" s="1" t="s">
        <v>1434</v>
      </c>
      <c r="B83" s="1" t="s">
        <v>1463</v>
      </c>
      <c r="C83" s="1" t="str">
        <f t="shared" si="2"/>
        <v>CNNGB</v>
      </c>
      <c r="D83" s="1" t="str">
        <f t="shared" si="3"/>
        <v>COBUN</v>
      </c>
      <c r="E83" s="1" t="str">
        <f>"https://www.hangyun365.com/Shipping?pol_code="&amp;Port_Optimization_365[[#This Row],[POL CODE]]&amp;"&amp;pod_code="&amp;Port_Optimization_365[[#This Row],[POD CODE]]</f>
        <v>https://www.hangyun365.com/Shipping?pol_code=CNNGB&amp;pod_code=COBUN</v>
      </c>
    </row>
    <row r="84" spans="1:5" x14ac:dyDescent="0.3">
      <c r="A84" s="1" t="s">
        <v>1434</v>
      </c>
      <c r="B84" s="1" t="s">
        <v>1464</v>
      </c>
      <c r="C84" s="1" t="str">
        <f t="shared" si="2"/>
        <v>CNNGB</v>
      </c>
      <c r="D84" s="1" t="str">
        <f t="shared" si="3"/>
        <v>CLSAI</v>
      </c>
      <c r="E84" s="1" t="str">
        <f>"https://www.hangyun365.com/Shipping?pol_code="&amp;Port_Optimization_365[[#This Row],[POL CODE]]&amp;"&amp;pod_code="&amp;Port_Optimization_365[[#This Row],[POD CODE]]</f>
        <v>https://www.hangyun365.com/Shipping?pol_code=CNNGB&amp;pod_code=CLSAI</v>
      </c>
    </row>
    <row r="85" spans="1:5" x14ac:dyDescent="0.3">
      <c r="A85" s="1" t="s">
        <v>1434</v>
      </c>
      <c r="B85" s="1" t="s">
        <v>1465</v>
      </c>
      <c r="C85" s="1" t="str">
        <f t="shared" si="2"/>
        <v>CNNGB</v>
      </c>
      <c r="D85" s="1" t="str">
        <f t="shared" si="3"/>
        <v>BRSSZ</v>
      </c>
      <c r="E85" s="1" t="str">
        <f>"https://www.hangyun365.com/Shipping?pol_code="&amp;Port_Optimization_365[[#This Row],[POL CODE]]&amp;"&amp;pod_code="&amp;Port_Optimization_365[[#This Row],[POD CODE]]</f>
        <v>https://www.hangyun365.com/Shipping?pol_code=CNNGB&amp;pod_code=BRSSZ</v>
      </c>
    </row>
    <row r="86" spans="1:5" x14ac:dyDescent="0.3">
      <c r="A86" s="1" t="s">
        <v>1434</v>
      </c>
      <c r="B86" s="1" t="s">
        <v>1466</v>
      </c>
      <c r="C86" s="1" t="str">
        <f t="shared" si="2"/>
        <v>CNNGB</v>
      </c>
      <c r="D86" s="1" t="str">
        <f t="shared" si="3"/>
        <v>PABLB</v>
      </c>
      <c r="E86" s="1" t="str">
        <f>"https://www.hangyun365.com/Shipping?pol_code="&amp;Port_Optimization_365[[#This Row],[POL CODE]]&amp;"&amp;pod_code="&amp;Port_Optimization_365[[#This Row],[POD CODE]]</f>
        <v>https://www.hangyun365.com/Shipping?pol_code=CNNGB&amp;pod_code=PABLB</v>
      </c>
    </row>
    <row r="87" spans="1:5" x14ac:dyDescent="0.3">
      <c r="A87" s="1" t="s">
        <v>1434</v>
      </c>
      <c r="B87" s="1" t="s">
        <v>1467</v>
      </c>
      <c r="C87" s="1" t="str">
        <f t="shared" si="2"/>
        <v>CNNGB</v>
      </c>
      <c r="D87" s="1" t="str">
        <f t="shared" si="3"/>
        <v>AUBNE</v>
      </c>
      <c r="E87" s="1" t="str">
        <f>"https://www.hangyun365.com/Shipping?pol_code="&amp;Port_Optimization_365[[#This Row],[POL CODE]]&amp;"&amp;pod_code="&amp;Port_Optimization_365[[#This Row],[POD CODE]]</f>
        <v>https://www.hangyun365.com/Shipping?pol_code=CNNGB&amp;pod_code=AUBNE</v>
      </c>
    </row>
    <row r="88" spans="1:5" x14ac:dyDescent="0.3">
      <c r="A88" s="1" t="s">
        <v>1434</v>
      </c>
      <c r="B88" s="1" t="s">
        <v>1468</v>
      </c>
      <c r="C88" s="1" t="str">
        <f t="shared" si="2"/>
        <v>CNNGB</v>
      </c>
      <c r="D88" s="1" t="str">
        <f t="shared" si="3"/>
        <v>PGLAE</v>
      </c>
      <c r="E88" s="1" t="str">
        <f>"https://www.hangyun365.com/Shipping?pol_code="&amp;Port_Optimization_365[[#This Row],[POL CODE]]&amp;"&amp;pod_code="&amp;Port_Optimization_365[[#This Row],[POD CODE]]</f>
        <v>https://www.hangyun365.com/Shipping?pol_code=CNNGB&amp;pod_code=PGLAE</v>
      </c>
    </row>
    <row r="89" spans="1:5" x14ac:dyDescent="0.3">
      <c r="A89" s="1" t="s">
        <v>1434</v>
      </c>
      <c r="B89" s="1" t="s">
        <v>1469</v>
      </c>
      <c r="C89" s="1" t="str">
        <f t="shared" si="2"/>
        <v>CNNGB</v>
      </c>
      <c r="D89" s="1" t="str">
        <f t="shared" si="3"/>
        <v>NZAKL</v>
      </c>
      <c r="E89" s="1" t="str">
        <f>"https://www.hangyun365.com/Shipping?pol_code="&amp;Port_Optimization_365[[#This Row],[POL CODE]]&amp;"&amp;pod_code="&amp;Port_Optimization_365[[#This Row],[POD CODE]]</f>
        <v>https://www.hangyun365.com/Shipping?pol_code=CNNGB&amp;pod_code=NZAKL</v>
      </c>
    </row>
    <row r="90" spans="1:5" x14ac:dyDescent="0.3">
      <c r="A90" s="1" t="s">
        <v>1434</v>
      </c>
      <c r="B90" s="1" t="s">
        <v>1404</v>
      </c>
      <c r="C90" s="1" t="str">
        <f t="shared" si="2"/>
        <v>CNNGB</v>
      </c>
      <c r="D90" s="1" t="str">
        <f t="shared" si="3"/>
        <v>VNSGN</v>
      </c>
      <c r="E90" s="1" t="str">
        <f>"https://www.hangyun365.com/Shipping?pol_code="&amp;Port_Optimization_365[[#This Row],[POL CODE]]&amp;"&amp;pod_code="&amp;Port_Optimization_365[[#This Row],[POD CODE]]</f>
        <v>https://www.hangyun365.com/Shipping?pol_code=CNNGB&amp;pod_code=VNSGN</v>
      </c>
    </row>
    <row r="91" spans="1:5" x14ac:dyDescent="0.3">
      <c r="A91" s="1" t="s">
        <v>1434</v>
      </c>
      <c r="B91" s="1" t="s">
        <v>1407</v>
      </c>
      <c r="C91" s="1" t="str">
        <f t="shared" si="2"/>
        <v>CNNGB</v>
      </c>
      <c r="D91" s="1" t="str">
        <f t="shared" si="3"/>
        <v>VNHPH</v>
      </c>
      <c r="E91" s="1" t="str">
        <f>"https://www.hangyun365.com/Shipping?pol_code="&amp;Port_Optimization_365[[#This Row],[POL CODE]]&amp;"&amp;pod_code="&amp;Port_Optimization_365[[#This Row],[POD CODE]]</f>
        <v>https://www.hangyun365.com/Shipping?pol_code=CNNGB&amp;pod_code=VNHPH</v>
      </c>
    </row>
    <row r="92" spans="1:5" x14ac:dyDescent="0.3">
      <c r="A92" s="1" t="s">
        <v>1434</v>
      </c>
      <c r="B92" s="1" t="s">
        <v>1406</v>
      </c>
      <c r="C92" s="1" t="str">
        <f t="shared" si="2"/>
        <v>CNNGB</v>
      </c>
      <c r="D92" s="1" t="str">
        <f t="shared" si="3"/>
        <v>IDJKT</v>
      </c>
      <c r="E92" s="1" t="str">
        <f>"https://www.hangyun365.com/Shipping?pol_code="&amp;Port_Optimization_365[[#This Row],[POL CODE]]&amp;"&amp;pod_code="&amp;Port_Optimization_365[[#This Row],[POD CODE]]</f>
        <v>https://www.hangyun365.com/Shipping?pol_code=CNNGB&amp;pod_code=IDJKT</v>
      </c>
    </row>
    <row r="93" spans="1:5" x14ac:dyDescent="0.3">
      <c r="A93" s="1" t="s">
        <v>1434</v>
      </c>
      <c r="B93" s="1" t="s">
        <v>1412</v>
      </c>
      <c r="C93" s="1" t="str">
        <f t="shared" si="2"/>
        <v>CNNGB</v>
      </c>
      <c r="D93" s="1" t="str">
        <f t="shared" si="3"/>
        <v>KHKOS</v>
      </c>
      <c r="E93" s="1" t="str">
        <f>"https://www.hangyun365.com/Shipping?pol_code="&amp;Port_Optimization_365[[#This Row],[POL CODE]]&amp;"&amp;pod_code="&amp;Port_Optimization_365[[#This Row],[POD CODE]]</f>
        <v>https://www.hangyun365.com/Shipping?pol_code=CNNGB&amp;pod_code=KHKOS</v>
      </c>
    </row>
    <row r="94" spans="1:5" x14ac:dyDescent="0.3">
      <c r="A94" s="1" t="s">
        <v>1434</v>
      </c>
      <c r="B94" s="1" t="s">
        <v>1405</v>
      </c>
      <c r="C94" s="1" t="str">
        <f t="shared" si="2"/>
        <v>CNNGB</v>
      </c>
      <c r="D94" s="1" t="str">
        <f t="shared" si="3"/>
        <v>PHMNL</v>
      </c>
      <c r="E94" s="1" t="str">
        <f>"https://www.hangyun365.com/Shipping?pol_code="&amp;Port_Optimization_365[[#This Row],[POL CODE]]&amp;"&amp;pod_code="&amp;Port_Optimization_365[[#This Row],[POD CODE]]</f>
        <v>https://www.hangyun365.com/Shipping?pol_code=CNNGB&amp;pod_code=PHMNL</v>
      </c>
    </row>
    <row r="95" spans="1:5" x14ac:dyDescent="0.3">
      <c r="A95" s="1" t="s">
        <v>1434</v>
      </c>
      <c r="B95" s="1" t="s">
        <v>1470</v>
      </c>
      <c r="C95" s="1" t="str">
        <f t="shared" si="2"/>
        <v>CNNGB</v>
      </c>
      <c r="D95" s="1" t="str">
        <f t="shared" si="3"/>
        <v>MYPEN</v>
      </c>
      <c r="E95" s="1" t="str">
        <f>"https://www.hangyun365.com/Shipping?pol_code="&amp;Port_Optimization_365[[#This Row],[POL CODE]]&amp;"&amp;pod_code="&amp;Port_Optimization_365[[#This Row],[POD CODE]]</f>
        <v>https://www.hangyun365.com/Shipping?pol_code=CNNGB&amp;pod_code=MYPEN</v>
      </c>
    </row>
    <row r="96" spans="1:5" x14ac:dyDescent="0.3">
      <c r="A96" s="1" t="s">
        <v>1434</v>
      </c>
      <c r="B96" s="1" t="s">
        <v>1409</v>
      </c>
      <c r="C96" s="1" t="str">
        <f t="shared" si="2"/>
        <v>CNNGB</v>
      </c>
      <c r="D96" s="1" t="str">
        <f t="shared" si="3"/>
        <v>MYTPP</v>
      </c>
      <c r="E96" s="1" t="str">
        <f>"https://www.hangyun365.com/Shipping?pol_code="&amp;Port_Optimization_365[[#This Row],[POL CODE]]&amp;"&amp;pod_code="&amp;Port_Optimization_365[[#This Row],[POD CODE]]</f>
        <v>https://www.hangyun365.com/Shipping?pol_code=CNNGB&amp;pod_code=MYTPP</v>
      </c>
    </row>
    <row r="97" spans="1:5" x14ac:dyDescent="0.3">
      <c r="A97" s="1" t="s">
        <v>1434</v>
      </c>
      <c r="B97" s="1" t="s">
        <v>1415</v>
      </c>
      <c r="C97" s="1" t="str">
        <f t="shared" si="2"/>
        <v>CNNGB</v>
      </c>
      <c r="D97" s="1" t="str">
        <f t="shared" si="3"/>
        <v>MYPKG</v>
      </c>
      <c r="E97" s="1" t="str">
        <f>"https://www.hangyun365.com/Shipping?pol_code="&amp;Port_Optimization_365[[#This Row],[POL CODE]]&amp;"&amp;pod_code="&amp;Port_Optimization_365[[#This Row],[POD CODE]]</f>
        <v>https://www.hangyun365.com/Shipping?pol_code=CNNGB&amp;pod_code=MYPKG</v>
      </c>
    </row>
    <row r="98" spans="1:5" x14ac:dyDescent="0.3">
      <c r="A98" s="1" t="s">
        <v>1434</v>
      </c>
      <c r="B98" s="1" t="s">
        <v>1471</v>
      </c>
      <c r="C98" s="1" t="str">
        <f t="shared" si="2"/>
        <v>CNNGB</v>
      </c>
      <c r="D98" s="1" t="str">
        <f t="shared" si="3"/>
        <v>BDCGP</v>
      </c>
      <c r="E98" s="1" t="str">
        <f>"https://www.hangyun365.com/Shipping?pol_code="&amp;Port_Optimization_365[[#This Row],[POL CODE]]&amp;"&amp;pod_code="&amp;Port_Optimization_365[[#This Row],[POD CODE]]</f>
        <v>https://www.hangyun365.com/Shipping?pol_code=CNNGB&amp;pod_code=BDCGP</v>
      </c>
    </row>
    <row r="99" spans="1:5" x14ac:dyDescent="0.3">
      <c r="A99" s="1" t="s">
        <v>1434</v>
      </c>
      <c r="B99" s="1" t="s">
        <v>1416</v>
      </c>
      <c r="C99" s="1" t="str">
        <f t="shared" si="2"/>
        <v>CNNGB</v>
      </c>
      <c r="D99" s="1" t="str">
        <f t="shared" si="3"/>
        <v>HKHKG</v>
      </c>
      <c r="E99" s="1" t="str">
        <f>"https://www.hangyun365.com/Shipping?pol_code="&amp;Port_Optimization_365[[#This Row],[POL CODE]]&amp;"&amp;pod_code="&amp;Port_Optimization_365[[#This Row],[POD CODE]]</f>
        <v>https://www.hangyun365.com/Shipping?pol_code=CNNGB&amp;pod_code=HKHKG</v>
      </c>
    </row>
    <row r="100" spans="1:5" x14ac:dyDescent="0.3">
      <c r="A100" s="1" t="s">
        <v>1434</v>
      </c>
      <c r="B100" s="1" t="s">
        <v>1424</v>
      </c>
      <c r="C100" s="1" t="str">
        <f t="shared" si="2"/>
        <v>CNNGB</v>
      </c>
      <c r="D100" s="1" t="str">
        <f t="shared" si="3"/>
        <v>RUVVO</v>
      </c>
      <c r="E100" s="1" t="str">
        <f>"https://www.hangyun365.com/Shipping?pol_code="&amp;Port_Optimization_365[[#This Row],[POL CODE]]&amp;"&amp;pod_code="&amp;Port_Optimization_365[[#This Row],[POD CODE]]</f>
        <v>https://www.hangyun365.com/Shipping?pol_code=CNNGB&amp;pod_code=RUVVO</v>
      </c>
    </row>
    <row r="101" spans="1:5" x14ac:dyDescent="0.3">
      <c r="A101" s="1" t="s">
        <v>1434</v>
      </c>
      <c r="B101" s="1" t="s">
        <v>1428</v>
      </c>
      <c r="C101" s="1" t="str">
        <f t="shared" si="2"/>
        <v>CNNGB</v>
      </c>
      <c r="D101" s="1" t="str">
        <f t="shared" si="3"/>
        <v>RUVYP</v>
      </c>
      <c r="E101" s="1" t="str">
        <f>"https://www.hangyun365.com/Shipping?pol_code="&amp;Port_Optimization_365[[#This Row],[POL CODE]]&amp;"&amp;pod_code="&amp;Port_Optimization_365[[#This Row],[POD CODE]]</f>
        <v>https://www.hangyun365.com/Shipping?pol_code=CNNGB&amp;pod_code=RUVYP</v>
      </c>
    </row>
    <row r="102" spans="1:5" x14ac:dyDescent="0.3">
      <c r="A102" s="1" t="s">
        <v>1434</v>
      </c>
      <c r="B102" s="1" t="s">
        <v>1410</v>
      </c>
      <c r="C102" s="1" t="str">
        <f t="shared" si="2"/>
        <v>CNNGB</v>
      </c>
      <c r="D102" s="1" t="str">
        <f t="shared" si="3"/>
        <v>IDSUB</v>
      </c>
      <c r="E102" s="1" t="str">
        <f>"https://www.hangyun365.com/Shipping?pol_code="&amp;Port_Optimization_365[[#This Row],[POL CODE]]&amp;"&amp;pod_code="&amp;Port_Optimization_365[[#This Row],[POD CODE]]</f>
        <v>https://www.hangyun365.com/Shipping?pol_code=CNNGB&amp;pod_code=IDSUB</v>
      </c>
    </row>
    <row r="103" spans="1:5" x14ac:dyDescent="0.3">
      <c r="A103" s="1" t="s">
        <v>1434</v>
      </c>
      <c r="B103" s="1" t="s">
        <v>1472</v>
      </c>
      <c r="C103" s="1" t="str">
        <f t="shared" si="2"/>
        <v>CNNGB</v>
      </c>
      <c r="D103" s="1" t="str">
        <f t="shared" si="3"/>
        <v>MMRGN</v>
      </c>
      <c r="E103" s="1" t="str">
        <f>"https://www.hangyun365.com/Shipping?pol_code="&amp;Port_Optimization_365[[#This Row],[POL CODE]]&amp;"&amp;pod_code="&amp;Port_Optimization_365[[#This Row],[POD CODE]]</f>
        <v>https://www.hangyun365.com/Shipping?pol_code=CNNGB&amp;pod_code=MMRGN</v>
      </c>
    </row>
    <row r="104" spans="1:5" x14ac:dyDescent="0.3">
      <c r="A104" s="1" t="s">
        <v>1434</v>
      </c>
      <c r="B104" s="1" t="s">
        <v>1408</v>
      </c>
      <c r="C104" s="1" t="str">
        <f t="shared" si="2"/>
        <v>CNNGB</v>
      </c>
      <c r="D104" s="1" t="str">
        <f t="shared" si="3"/>
        <v>THLCH</v>
      </c>
      <c r="E104" s="1" t="str">
        <f>"https://www.hangyun365.com/Shipping?pol_code="&amp;Port_Optimization_365[[#This Row],[POL CODE]]&amp;"&amp;pod_code="&amp;Port_Optimization_365[[#This Row],[POD CODE]]</f>
        <v>https://www.hangyun365.com/Shipping?pol_code=CNNGB&amp;pod_code=THLCH</v>
      </c>
    </row>
    <row r="105" spans="1:5" x14ac:dyDescent="0.3">
      <c r="A105" s="1" t="s">
        <v>1434</v>
      </c>
      <c r="B105" s="1" t="s">
        <v>1411</v>
      </c>
      <c r="C105" s="1" t="str">
        <f t="shared" si="2"/>
        <v>CNNGB</v>
      </c>
      <c r="D105" s="1" t="str">
        <f t="shared" si="3"/>
        <v>SGSIN</v>
      </c>
      <c r="E105" s="1" t="str">
        <f>"https://www.hangyun365.com/Shipping?pol_code="&amp;Port_Optimization_365[[#This Row],[POL CODE]]&amp;"&amp;pod_code="&amp;Port_Optimization_365[[#This Row],[POD CODE]]</f>
        <v>https://www.hangyun365.com/Shipping?pol_code=CNNGB&amp;pod_code=SGSIN</v>
      </c>
    </row>
    <row r="106" spans="1:5" x14ac:dyDescent="0.3">
      <c r="A106" s="1" t="s">
        <v>1434</v>
      </c>
      <c r="B106" s="1" t="s">
        <v>1414</v>
      </c>
      <c r="C106" s="1" t="str">
        <f t="shared" si="2"/>
        <v>CNNGB</v>
      </c>
      <c r="D106" s="1" t="str">
        <f t="shared" si="3"/>
        <v>MYPGU</v>
      </c>
      <c r="E106" s="1" t="str">
        <f>"https://www.hangyun365.com/Shipping?pol_code="&amp;Port_Optimization_365[[#This Row],[POL CODE]]&amp;"&amp;pod_code="&amp;Port_Optimization_365[[#This Row],[POD CODE]]</f>
        <v>https://www.hangyun365.com/Shipping?pol_code=CNNGB&amp;pod_code=MYPGU</v>
      </c>
    </row>
    <row r="107" spans="1:5" x14ac:dyDescent="0.3">
      <c r="A107" s="1" t="s">
        <v>1434</v>
      </c>
      <c r="B107" s="1" t="s">
        <v>1417</v>
      </c>
      <c r="C107" s="1" t="str">
        <f t="shared" si="2"/>
        <v>CNNGB</v>
      </c>
      <c r="D107" s="1" t="str">
        <f t="shared" si="3"/>
        <v>KRPUS</v>
      </c>
      <c r="E107" s="1" t="str">
        <f>"https://www.hangyun365.com/Shipping?pol_code="&amp;Port_Optimization_365[[#This Row],[POL CODE]]&amp;"&amp;pod_code="&amp;Port_Optimization_365[[#This Row],[POD CODE]]</f>
        <v>https://www.hangyun365.com/Shipping?pol_code=CNNGB&amp;pod_code=KRPUS</v>
      </c>
    </row>
    <row r="108" spans="1:5" x14ac:dyDescent="0.3">
      <c r="A108" s="1" t="s">
        <v>1434</v>
      </c>
      <c r="B108" s="1" t="s">
        <v>1473</v>
      </c>
      <c r="C108" s="1" t="str">
        <f t="shared" si="2"/>
        <v>CNNGB</v>
      </c>
      <c r="D108" s="1" t="str">
        <f t="shared" si="3"/>
        <v>TWTXG</v>
      </c>
      <c r="E108" s="1" t="str">
        <f>"https://www.hangyun365.com/Shipping?pol_code="&amp;Port_Optimization_365[[#This Row],[POL CODE]]&amp;"&amp;pod_code="&amp;Port_Optimization_365[[#This Row],[POD CODE]]</f>
        <v>https://www.hangyun365.com/Shipping?pol_code=CNNGB&amp;pod_code=TWTXG</v>
      </c>
    </row>
    <row r="109" spans="1:5" x14ac:dyDescent="0.3">
      <c r="A109" s="1" t="s">
        <v>1434</v>
      </c>
      <c r="B109" s="1" t="s">
        <v>1433</v>
      </c>
      <c r="C109" s="1" t="str">
        <f t="shared" si="2"/>
        <v>CNNGB</v>
      </c>
      <c r="D109" s="1" t="str">
        <f t="shared" si="3"/>
        <v>KRINC</v>
      </c>
      <c r="E109" s="1" t="str">
        <f>"https://www.hangyun365.com/Shipping?pol_code="&amp;Port_Optimization_365[[#This Row],[POL CODE]]&amp;"&amp;pod_code="&amp;Port_Optimization_365[[#This Row],[POD CODE]]</f>
        <v>https://www.hangyun365.com/Shipping?pol_code=CNNGB&amp;pod_code=KRINC</v>
      </c>
    </row>
    <row r="110" spans="1:5" x14ac:dyDescent="0.3">
      <c r="A110" s="1" t="s">
        <v>1434</v>
      </c>
      <c r="B110" s="1" t="s">
        <v>1431</v>
      </c>
      <c r="C110" s="1" t="str">
        <f t="shared" si="2"/>
        <v>CNNGB</v>
      </c>
      <c r="D110" s="1" t="str">
        <f t="shared" si="3"/>
        <v>JPTYO</v>
      </c>
      <c r="E110" s="1" t="str">
        <f>"https://www.hangyun365.com/Shipping?pol_code="&amp;Port_Optimization_365[[#This Row],[POL CODE]]&amp;"&amp;pod_code="&amp;Port_Optimization_365[[#This Row],[POD CODE]]</f>
        <v>https://www.hangyun365.com/Shipping?pol_code=CNNGB&amp;pod_code=JPTYO</v>
      </c>
    </row>
    <row r="111" spans="1:5" x14ac:dyDescent="0.3">
      <c r="A111" s="1" t="s">
        <v>1434</v>
      </c>
      <c r="B111" s="1" t="s">
        <v>1419</v>
      </c>
      <c r="C111" s="1" t="str">
        <f t="shared" si="2"/>
        <v>CNNGB</v>
      </c>
      <c r="D111" s="1" t="str">
        <f t="shared" si="3"/>
        <v>JPHTD</v>
      </c>
      <c r="E111" s="1" t="str">
        <f>"https://www.hangyun365.com/Shipping?pol_code="&amp;Port_Optimization_365[[#This Row],[POL CODE]]&amp;"&amp;pod_code="&amp;Port_Optimization_365[[#This Row],[POD CODE]]</f>
        <v>https://www.hangyun365.com/Shipping?pol_code=CNNGB&amp;pod_code=JPHTD</v>
      </c>
    </row>
    <row r="112" spans="1:5" x14ac:dyDescent="0.3">
      <c r="A112" s="1" t="s">
        <v>1434</v>
      </c>
      <c r="B112" s="1" t="s">
        <v>1474</v>
      </c>
      <c r="C112" s="1" t="str">
        <f t="shared" si="2"/>
        <v>CNNGB</v>
      </c>
      <c r="D112" s="1" t="str">
        <f t="shared" si="3"/>
        <v>JPNGO</v>
      </c>
      <c r="E112" s="1" t="str">
        <f>"https://www.hangyun365.com/Shipping?pol_code="&amp;Port_Optimization_365[[#This Row],[POL CODE]]&amp;"&amp;pod_code="&amp;Port_Optimization_365[[#This Row],[POD CODE]]</f>
        <v>https://www.hangyun365.com/Shipping?pol_code=CNNGB&amp;pod_code=JPNGO</v>
      </c>
    </row>
    <row r="113" spans="1:5" x14ac:dyDescent="0.3">
      <c r="A113" s="1" t="s">
        <v>1434</v>
      </c>
      <c r="B113" s="1" t="s">
        <v>1427</v>
      </c>
      <c r="C113" s="1" t="str">
        <f t="shared" si="2"/>
        <v>CNNGB</v>
      </c>
      <c r="D113" s="1" t="str">
        <f t="shared" si="3"/>
        <v>KRPTK</v>
      </c>
      <c r="E113" s="1" t="str">
        <f>"https://www.hangyun365.com/Shipping?pol_code="&amp;Port_Optimization_365[[#This Row],[POL CODE]]&amp;"&amp;pod_code="&amp;Port_Optimization_365[[#This Row],[POD CODE]]</f>
        <v>https://www.hangyun365.com/Shipping?pol_code=CNNGB&amp;pod_code=KRPTK</v>
      </c>
    </row>
    <row r="114" spans="1:5" x14ac:dyDescent="0.3">
      <c r="A114" s="1" t="s">
        <v>1434</v>
      </c>
      <c r="B114" s="1" t="s">
        <v>1425</v>
      </c>
      <c r="C114" s="1" t="str">
        <f t="shared" si="2"/>
        <v>CNNGB</v>
      </c>
      <c r="D114" s="1" t="str">
        <f t="shared" si="3"/>
        <v>JPIMI</v>
      </c>
      <c r="E114" s="1" t="str">
        <f>"https://www.hangyun365.com/Shipping?pol_code="&amp;Port_Optimization_365[[#This Row],[POL CODE]]&amp;"&amp;pod_code="&amp;Port_Optimization_365[[#This Row],[POD CODE]]</f>
        <v>https://www.hangyun365.com/Shipping?pol_code=CNNGB&amp;pod_code=JPIMI</v>
      </c>
    </row>
    <row r="115" spans="1:5" x14ac:dyDescent="0.3">
      <c r="A115" s="1" t="s">
        <v>1475</v>
      </c>
      <c r="B115" s="1" t="s">
        <v>1435</v>
      </c>
      <c r="C115" s="1" t="str">
        <f t="shared" si="2"/>
        <v>CNTAO</v>
      </c>
      <c r="D115" s="1" t="str">
        <f t="shared" si="3"/>
        <v>USLGB</v>
      </c>
      <c r="E115" s="1" t="str">
        <f>"https://www.hangyun365.com/Shipping?pol_code="&amp;Port_Optimization_365[[#This Row],[POL CODE]]&amp;"&amp;pod_code="&amp;Port_Optimization_365[[#This Row],[POD CODE]]</f>
        <v>https://www.hangyun365.com/Shipping?pol_code=CNTAO&amp;pod_code=USLGB</v>
      </c>
    </row>
    <row r="116" spans="1:5" x14ac:dyDescent="0.3">
      <c r="A116" s="1" t="s">
        <v>1475</v>
      </c>
      <c r="B116" s="1" t="s">
        <v>1438</v>
      </c>
      <c r="C116" s="1" t="str">
        <f t="shared" si="2"/>
        <v>CNTAO</v>
      </c>
      <c r="D116" s="1" t="str">
        <f t="shared" si="3"/>
        <v>USSEA</v>
      </c>
      <c r="E116" s="1" t="str">
        <f>"https://www.hangyun365.com/Shipping?pol_code="&amp;Port_Optimization_365[[#This Row],[POL CODE]]&amp;"&amp;pod_code="&amp;Port_Optimization_365[[#This Row],[POD CODE]]</f>
        <v>https://www.hangyun365.com/Shipping?pol_code=CNTAO&amp;pod_code=USSEA</v>
      </c>
    </row>
    <row r="117" spans="1:5" x14ac:dyDescent="0.3">
      <c r="A117" s="1" t="s">
        <v>1475</v>
      </c>
      <c r="B117" s="1" t="s">
        <v>1437</v>
      </c>
      <c r="C117" s="1" t="str">
        <f t="shared" si="2"/>
        <v>CNTAO</v>
      </c>
      <c r="D117" s="1" t="str">
        <f t="shared" si="3"/>
        <v>USTIW</v>
      </c>
      <c r="E117" s="1" t="str">
        <f>"https://www.hangyun365.com/Shipping?pol_code="&amp;Port_Optimization_365[[#This Row],[POL CODE]]&amp;"&amp;pod_code="&amp;Port_Optimization_365[[#This Row],[POD CODE]]</f>
        <v>https://www.hangyun365.com/Shipping?pol_code=CNTAO&amp;pod_code=USTIW</v>
      </c>
    </row>
    <row r="118" spans="1:5" x14ac:dyDescent="0.3">
      <c r="A118" s="1" t="s">
        <v>1475</v>
      </c>
      <c r="B118" s="1" t="s">
        <v>1436</v>
      </c>
      <c r="C118" s="1" t="str">
        <f t="shared" si="2"/>
        <v>CNTAO</v>
      </c>
      <c r="D118" s="1" t="str">
        <f t="shared" si="3"/>
        <v>USLAX</v>
      </c>
      <c r="E118" s="1" t="str">
        <f>"https://www.hangyun365.com/Shipping?pol_code="&amp;Port_Optimization_365[[#This Row],[POL CODE]]&amp;"&amp;pod_code="&amp;Port_Optimization_365[[#This Row],[POD CODE]]</f>
        <v>https://www.hangyun365.com/Shipping?pol_code=CNTAO&amp;pod_code=USLAX</v>
      </c>
    </row>
    <row r="119" spans="1:5" x14ac:dyDescent="0.3">
      <c r="A119" s="1" t="s">
        <v>1475</v>
      </c>
      <c r="B119" s="1" t="s">
        <v>1441</v>
      </c>
      <c r="C119" s="1" t="str">
        <f t="shared" si="2"/>
        <v>CNTAO</v>
      </c>
      <c r="D119" s="1" t="str">
        <f t="shared" si="3"/>
        <v>USNYC</v>
      </c>
      <c r="E119" s="1" t="str">
        <f>"https://www.hangyun365.com/Shipping?pol_code="&amp;Port_Optimization_365[[#This Row],[POL CODE]]&amp;"&amp;pod_code="&amp;Port_Optimization_365[[#This Row],[POD CODE]]</f>
        <v>https://www.hangyun365.com/Shipping?pol_code=CNTAO&amp;pod_code=USNYC</v>
      </c>
    </row>
    <row r="120" spans="1:5" x14ac:dyDescent="0.3">
      <c r="A120" s="1" t="s">
        <v>1475</v>
      </c>
      <c r="B120" s="1" t="s">
        <v>1430</v>
      </c>
      <c r="C120" s="1" t="str">
        <f t="shared" si="2"/>
        <v>CNTAO</v>
      </c>
      <c r="D120" s="1" t="str">
        <f t="shared" si="3"/>
        <v>CAVAN</v>
      </c>
      <c r="E120" s="1" t="str">
        <f>"https://www.hangyun365.com/Shipping?pol_code="&amp;Port_Optimization_365[[#This Row],[POL CODE]]&amp;"&amp;pod_code="&amp;Port_Optimization_365[[#This Row],[POD CODE]]</f>
        <v>https://www.hangyun365.com/Shipping?pol_code=CNTAO&amp;pod_code=CAVAN</v>
      </c>
    </row>
    <row r="121" spans="1:5" x14ac:dyDescent="0.3">
      <c r="A121" s="1" t="s">
        <v>1475</v>
      </c>
      <c r="B121" s="1" t="s">
        <v>1442</v>
      </c>
      <c r="C121" s="1" t="str">
        <f t="shared" si="2"/>
        <v>CNTAO</v>
      </c>
      <c r="D121" s="1" t="str">
        <f t="shared" si="3"/>
        <v>CAPRR</v>
      </c>
      <c r="E121" s="1" t="str">
        <f>"https://www.hangyun365.com/Shipping?pol_code="&amp;Port_Optimization_365[[#This Row],[POL CODE]]&amp;"&amp;pod_code="&amp;Port_Optimization_365[[#This Row],[POD CODE]]</f>
        <v>https://www.hangyun365.com/Shipping?pol_code=CNTAO&amp;pod_code=CAPRR</v>
      </c>
    </row>
    <row r="122" spans="1:5" x14ac:dyDescent="0.3">
      <c r="A122" s="1" t="s">
        <v>1475</v>
      </c>
      <c r="B122" s="1" t="s">
        <v>1398</v>
      </c>
      <c r="C122" s="1" t="str">
        <f t="shared" si="2"/>
        <v>CNTAO</v>
      </c>
      <c r="D122" s="1" t="str">
        <f t="shared" si="3"/>
        <v>MXZLO</v>
      </c>
      <c r="E122" s="1" t="str">
        <f>"https://www.hangyun365.com/Shipping?pol_code="&amp;Port_Optimization_365[[#This Row],[POL CODE]]&amp;"&amp;pod_code="&amp;Port_Optimization_365[[#This Row],[POD CODE]]</f>
        <v>https://www.hangyun365.com/Shipping?pol_code=CNTAO&amp;pod_code=MXZLO</v>
      </c>
    </row>
    <row r="123" spans="1:5" x14ac:dyDescent="0.3">
      <c r="A123" s="1" t="s">
        <v>1475</v>
      </c>
      <c r="B123" s="1" t="s">
        <v>1449</v>
      </c>
      <c r="C123" s="1" t="str">
        <f t="shared" si="2"/>
        <v>CNTAO</v>
      </c>
      <c r="D123" s="1" t="str">
        <f t="shared" si="3"/>
        <v>RUNVS</v>
      </c>
      <c r="E123" s="1" t="str">
        <f>"https://www.hangyun365.com/Shipping?pol_code="&amp;Port_Optimization_365[[#This Row],[POL CODE]]&amp;"&amp;pod_code="&amp;Port_Optimization_365[[#This Row],[POD CODE]]</f>
        <v>https://www.hangyun365.com/Shipping?pol_code=CNTAO&amp;pod_code=RUNVS</v>
      </c>
    </row>
    <row r="124" spans="1:5" x14ac:dyDescent="0.3">
      <c r="A124" s="1" t="s">
        <v>1475</v>
      </c>
      <c r="B124" s="1" t="s">
        <v>1400</v>
      </c>
      <c r="C124" s="1" t="str">
        <f t="shared" si="2"/>
        <v>CNTAO</v>
      </c>
      <c r="D124" s="1" t="str">
        <f t="shared" si="3"/>
        <v>NLRTM</v>
      </c>
      <c r="E124" s="1" t="str">
        <f>"https://www.hangyun365.com/Shipping?pol_code="&amp;Port_Optimization_365[[#This Row],[POL CODE]]&amp;"&amp;pod_code="&amp;Port_Optimization_365[[#This Row],[POD CODE]]</f>
        <v>https://www.hangyun365.com/Shipping?pol_code=CNTAO&amp;pod_code=NLRTM</v>
      </c>
    </row>
    <row r="125" spans="1:5" x14ac:dyDescent="0.3">
      <c r="A125" s="1" t="s">
        <v>1475</v>
      </c>
      <c r="B125" s="1" t="s">
        <v>1399</v>
      </c>
      <c r="C125" s="1" t="str">
        <f t="shared" si="2"/>
        <v>CNTAO</v>
      </c>
      <c r="D125" s="1" t="str">
        <f t="shared" si="3"/>
        <v>GBFXT</v>
      </c>
      <c r="E125" s="1" t="str">
        <f>"https://www.hangyun365.com/Shipping?pol_code="&amp;Port_Optimization_365[[#This Row],[POL CODE]]&amp;"&amp;pod_code="&amp;Port_Optimization_365[[#This Row],[POD CODE]]</f>
        <v>https://www.hangyun365.com/Shipping?pol_code=CNTAO&amp;pod_code=GBFXT</v>
      </c>
    </row>
    <row r="126" spans="1:5" x14ac:dyDescent="0.3">
      <c r="A126" s="1" t="s">
        <v>1475</v>
      </c>
      <c r="B126" s="1" t="s">
        <v>1447</v>
      </c>
      <c r="C126" s="1" t="str">
        <f t="shared" si="2"/>
        <v>CNTAO</v>
      </c>
      <c r="D126" s="1" t="str">
        <f t="shared" si="3"/>
        <v>ESVLC</v>
      </c>
      <c r="E126" s="1" t="str">
        <f>"https://www.hangyun365.com/Shipping?pol_code="&amp;Port_Optimization_365[[#This Row],[POL CODE]]&amp;"&amp;pod_code="&amp;Port_Optimization_365[[#This Row],[POD CODE]]</f>
        <v>https://www.hangyun365.com/Shipping?pol_code=CNTAO&amp;pod_code=ESVLC</v>
      </c>
    </row>
    <row r="127" spans="1:5" x14ac:dyDescent="0.3">
      <c r="A127" s="1" t="s">
        <v>1475</v>
      </c>
      <c r="B127" s="1" t="s">
        <v>1448</v>
      </c>
      <c r="C127" s="1" t="str">
        <f t="shared" si="2"/>
        <v>CNTAO</v>
      </c>
      <c r="D127" s="1" t="str">
        <f t="shared" si="3"/>
        <v>SIKOP</v>
      </c>
      <c r="E127" s="1" t="str">
        <f>"https://www.hangyun365.com/Shipping?pol_code="&amp;Port_Optimization_365[[#This Row],[POL CODE]]&amp;"&amp;pod_code="&amp;Port_Optimization_365[[#This Row],[POD CODE]]</f>
        <v>https://www.hangyun365.com/Shipping?pol_code=CNTAO&amp;pod_code=SIKOP</v>
      </c>
    </row>
    <row r="128" spans="1:5" x14ac:dyDescent="0.3">
      <c r="A128" s="1" t="s">
        <v>1475</v>
      </c>
      <c r="B128" s="1" t="s">
        <v>1401</v>
      </c>
      <c r="C128" s="1" t="str">
        <f t="shared" si="2"/>
        <v>CNTAO</v>
      </c>
      <c r="D128" s="1" t="str">
        <f t="shared" si="3"/>
        <v>TRIST</v>
      </c>
      <c r="E128" s="1" t="str">
        <f>"https://www.hangyun365.com/Shipping?pol_code="&amp;Port_Optimization_365[[#This Row],[POL CODE]]&amp;"&amp;pod_code="&amp;Port_Optimization_365[[#This Row],[POD CODE]]</f>
        <v>https://www.hangyun365.com/Shipping?pol_code=CNTAO&amp;pod_code=TRIST</v>
      </c>
    </row>
    <row r="129" spans="1:5" x14ac:dyDescent="0.3">
      <c r="A129" s="1" t="s">
        <v>1475</v>
      </c>
      <c r="B129" s="1" t="s">
        <v>1476</v>
      </c>
      <c r="C129" s="1" t="str">
        <f t="shared" si="2"/>
        <v>CNTAO</v>
      </c>
      <c r="D129" s="1" t="str">
        <f t="shared" si="3"/>
        <v>ESBCN</v>
      </c>
      <c r="E129" s="1" t="str">
        <f>"https://www.hangyun365.com/Shipping?pol_code="&amp;Port_Optimization_365[[#This Row],[POL CODE]]&amp;"&amp;pod_code="&amp;Port_Optimization_365[[#This Row],[POD CODE]]</f>
        <v>https://www.hangyun365.com/Shipping?pol_code=CNTAO&amp;pod_code=ESBCN</v>
      </c>
    </row>
    <row r="130" spans="1:5" x14ac:dyDescent="0.3">
      <c r="A130" s="1" t="s">
        <v>1475</v>
      </c>
      <c r="B130" s="1" t="s">
        <v>1402</v>
      </c>
      <c r="C130" s="1" t="str">
        <f t="shared" ref="C130:C193" si="4">_xlfn.TEXTBEFORE(_xlfn.TEXTAFTER(A130,"|"),"|")</f>
        <v>CNTAO</v>
      </c>
      <c r="D130" s="1" t="str">
        <f t="shared" ref="D130:D193" si="5">_xlfn.TEXTBEFORE(_xlfn.TEXTAFTER(B130,"|"),"|")</f>
        <v>INNSA</v>
      </c>
      <c r="E130" s="1" t="str">
        <f>"https://www.hangyun365.com/Shipping?pol_code="&amp;Port_Optimization_365[[#This Row],[POL CODE]]&amp;"&amp;pod_code="&amp;Port_Optimization_365[[#This Row],[POD CODE]]</f>
        <v>https://www.hangyun365.com/Shipping?pol_code=CNTAO&amp;pod_code=INNSA</v>
      </c>
    </row>
    <row r="131" spans="1:5" x14ac:dyDescent="0.3">
      <c r="A131" s="1" t="s">
        <v>1475</v>
      </c>
      <c r="B131" s="1" t="s">
        <v>1450</v>
      </c>
      <c r="C131" s="1" t="str">
        <f t="shared" si="4"/>
        <v>CNTAO</v>
      </c>
      <c r="D131" s="1" t="str">
        <f t="shared" si="5"/>
        <v>INMAA</v>
      </c>
      <c r="E131" s="1" t="str">
        <f>"https://www.hangyun365.com/Shipping?pol_code="&amp;Port_Optimization_365[[#This Row],[POL CODE]]&amp;"&amp;pod_code="&amp;Port_Optimization_365[[#This Row],[POD CODE]]</f>
        <v>https://www.hangyun365.com/Shipping?pol_code=CNTAO&amp;pod_code=INMAA</v>
      </c>
    </row>
    <row r="132" spans="1:5" x14ac:dyDescent="0.3">
      <c r="A132" s="1" t="s">
        <v>1475</v>
      </c>
      <c r="B132" s="1" t="s">
        <v>1451</v>
      </c>
      <c r="C132" s="1" t="str">
        <f t="shared" si="4"/>
        <v>CNTAO</v>
      </c>
      <c r="D132" s="1" t="str">
        <f t="shared" si="5"/>
        <v>INMUN</v>
      </c>
      <c r="E132" s="1" t="str">
        <f>"https://www.hangyun365.com/Shipping?pol_code="&amp;Port_Optimization_365[[#This Row],[POL CODE]]&amp;"&amp;pod_code="&amp;Port_Optimization_365[[#This Row],[POD CODE]]</f>
        <v>https://www.hangyun365.com/Shipping?pol_code=CNTAO&amp;pod_code=INMUN</v>
      </c>
    </row>
    <row r="133" spans="1:5" x14ac:dyDescent="0.3">
      <c r="A133" s="1" t="s">
        <v>1475</v>
      </c>
      <c r="B133" s="1" t="s">
        <v>1452</v>
      </c>
      <c r="C133" s="1" t="str">
        <f t="shared" si="4"/>
        <v>CNTAO</v>
      </c>
      <c r="D133" s="1" t="str">
        <f t="shared" si="5"/>
        <v>PKKHI</v>
      </c>
      <c r="E133" s="1" t="str">
        <f>"https://www.hangyun365.com/Shipping?pol_code="&amp;Port_Optimization_365[[#This Row],[POL CODE]]&amp;"&amp;pod_code="&amp;Port_Optimization_365[[#This Row],[POD CODE]]</f>
        <v>https://www.hangyun365.com/Shipping?pol_code=CNTAO&amp;pod_code=PKKHI</v>
      </c>
    </row>
    <row r="134" spans="1:5" x14ac:dyDescent="0.3">
      <c r="A134" s="1" t="s">
        <v>1475</v>
      </c>
      <c r="B134" s="1" t="s">
        <v>1454</v>
      </c>
      <c r="C134" s="1" t="str">
        <f t="shared" si="4"/>
        <v>CNTAO</v>
      </c>
      <c r="D134" s="1" t="str">
        <f t="shared" si="5"/>
        <v>LKCMB</v>
      </c>
      <c r="E134" s="1" t="str">
        <f>"https://www.hangyun365.com/Shipping?pol_code="&amp;Port_Optimization_365[[#This Row],[POL CODE]]&amp;"&amp;pod_code="&amp;Port_Optimization_365[[#This Row],[POD CODE]]</f>
        <v>https://www.hangyun365.com/Shipping?pol_code=CNTAO&amp;pod_code=LKCMB</v>
      </c>
    </row>
    <row r="135" spans="1:5" x14ac:dyDescent="0.3">
      <c r="A135" s="1" t="s">
        <v>1475</v>
      </c>
      <c r="B135" s="1" t="s">
        <v>1403</v>
      </c>
      <c r="C135" s="1" t="str">
        <f t="shared" si="4"/>
        <v>CNTAO</v>
      </c>
      <c r="D135" s="1" t="str">
        <f t="shared" si="5"/>
        <v>AEJEA</v>
      </c>
      <c r="E135" s="1" t="str">
        <f>"https://www.hangyun365.com/Shipping?pol_code="&amp;Port_Optimization_365[[#This Row],[POL CODE]]&amp;"&amp;pod_code="&amp;Port_Optimization_365[[#This Row],[POD CODE]]</f>
        <v>https://www.hangyun365.com/Shipping?pol_code=CNTAO&amp;pod_code=AEJEA</v>
      </c>
    </row>
    <row r="136" spans="1:5" x14ac:dyDescent="0.3">
      <c r="A136" s="1" t="s">
        <v>1475</v>
      </c>
      <c r="B136" s="1" t="s">
        <v>1455</v>
      </c>
      <c r="C136" s="1" t="str">
        <f t="shared" si="4"/>
        <v>CNTAO</v>
      </c>
      <c r="D136" s="1" t="str">
        <f t="shared" si="5"/>
        <v>SADMM</v>
      </c>
      <c r="E136" s="1" t="str">
        <f>"https://www.hangyun365.com/Shipping?pol_code="&amp;Port_Optimization_365[[#This Row],[POL CODE]]&amp;"&amp;pod_code="&amp;Port_Optimization_365[[#This Row],[POD CODE]]</f>
        <v>https://www.hangyun365.com/Shipping?pol_code=CNTAO&amp;pod_code=SADMM</v>
      </c>
    </row>
    <row r="137" spans="1:5" x14ac:dyDescent="0.3">
      <c r="A137" s="1" t="s">
        <v>1475</v>
      </c>
      <c r="B137" s="1" t="s">
        <v>1456</v>
      </c>
      <c r="C137" s="1" t="str">
        <f t="shared" si="4"/>
        <v>CNTAO</v>
      </c>
      <c r="D137" s="1" t="str">
        <f t="shared" si="5"/>
        <v>SAJED</v>
      </c>
      <c r="E137" s="1" t="str">
        <f>"https://www.hangyun365.com/Shipping?pol_code="&amp;Port_Optimization_365[[#This Row],[POL CODE]]&amp;"&amp;pod_code="&amp;Port_Optimization_365[[#This Row],[POD CODE]]</f>
        <v>https://www.hangyun365.com/Shipping?pol_code=CNTAO&amp;pod_code=SAJED</v>
      </c>
    </row>
    <row r="138" spans="1:5" x14ac:dyDescent="0.3">
      <c r="A138" s="1" t="s">
        <v>1475</v>
      </c>
      <c r="B138" s="1" t="s">
        <v>1457</v>
      </c>
      <c r="C138" s="1" t="str">
        <f t="shared" si="4"/>
        <v>CNTAO</v>
      </c>
      <c r="D138" s="1" t="str">
        <f t="shared" si="5"/>
        <v>KEMBA</v>
      </c>
      <c r="E138" s="1" t="str">
        <f>"https://www.hangyun365.com/Shipping?pol_code="&amp;Port_Optimization_365[[#This Row],[POL CODE]]&amp;"&amp;pod_code="&amp;Port_Optimization_365[[#This Row],[POD CODE]]</f>
        <v>https://www.hangyun365.com/Shipping?pol_code=CNTAO&amp;pod_code=KEMBA</v>
      </c>
    </row>
    <row r="139" spans="1:5" x14ac:dyDescent="0.3">
      <c r="A139" s="1" t="s">
        <v>1475</v>
      </c>
      <c r="B139" s="1" t="s">
        <v>1458</v>
      </c>
      <c r="C139" s="1" t="str">
        <f t="shared" si="4"/>
        <v>CNTAO</v>
      </c>
      <c r="D139" s="1" t="str">
        <f t="shared" si="5"/>
        <v>ZADUR</v>
      </c>
      <c r="E139" s="1" t="str">
        <f>"https://www.hangyun365.com/Shipping?pol_code="&amp;Port_Optimization_365[[#This Row],[POL CODE]]&amp;"&amp;pod_code="&amp;Port_Optimization_365[[#This Row],[POD CODE]]</f>
        <v>https://www.hangyun365.com/Shipping?pol_code=CNTAO&amp;pod_code=ZADUR</v>
      </c>
    </row>
    <row r="140" spans="1:5" x14ac:dyDescent="0.3">
      <c r="A140" s="1" t="s">
        <v>1475</v>
      </c>
      <c r="B140" s="1" t="s">
        <v>1460</v>
      </c>
      <c r="C140" s="1" t="str">
        <f t="shared" si="4"/>
        <v>CNTAO</v>
      </c>
      <c r="D140" s="1" t="str">
        <f t="shared" si="5"/>
        <v>CGPNR</v>
      </c>
      <c r="E140" s="1" t="str">
        <f>"https://www.hangyun365.com/Shipping?pol_code="&amp;Port_Optimization_365[[#This Row],[POL CODE]]&amp;"&amp;pod_code="&amp;Port_Optimization_365[[#This Row],[POD CODE]]</f>
        <v>https://www.hangyun365.com/Shipping?pol_code=CNTAO&amp;pod_code=CGPNR</v>
      </c>
    </row>
    <row r="141" spans="1:5" x14ac:dyDescent="0.3">
      <c r="A141" s="1" t="s">
        <v>1475</v>
      </c>
      <c r="B141" s="1" t="s">
        <v>1461</v>
      </c>
      <c r="C141" s="1" t="str">
        <f t="shared" si="4"/>
        <v>CNTAO</v>
      </c>
      <c r="D141" s="1" t="str">
        <f t="shared" si="5"/>
        <v>GHTEM</v>
      </c>
      <c r="E141" s="1" t="str">
        <f>"https://www.hangyun365.com/Shipping?pol_code="&amp;Port_Optimization_365[[#This Row],[POL CODE]]&amp;"&amp;pod_code="&amp;Port_Optimization_365[[#This Row],[POD CODE]]</f>
        <v>https://www.hangyun365.com/Shipping?pol_code=CNTAO&amp;pod_code=GHTEM</v>
      </c>
    </row>
    <row r="142" spans="1:5" x14ac:dyDescent="0.3">
      <c r="A142" s="1" t="s">
        <v>1475</v>
      </c>
      <c r="B142" s="1" t="s">
        <v>1463</v>
      </c>
      <c r="C142" s="1" t="str">
        <f t="shared" si="4"/>
        <v>CNTAO</v>
      </c>
      <c r="D142" s="1" t="str">
        <f t="shared" si="5"/>
        <v>COBUN</v>
      </c>
      <c r="E142" s="1" t="str">
        <f>"https://www.hangyun365.com/Shipping?pol_code="&amp;Port_Optimization_365[[#This Row],[POL CODE]]&amp;"&amp;pod_code="&amp;Port_Optimization_365[[#This Row],[POD CODE]]</f>
        <v>https://www.hangyun365.com/Shipping?pol_code=CNTAO&amp;pod_code=COBUN</v>
      </c>
    </row>
    <row r="143" spans="1:5" x14ac:dyDescent="0.3">
      <c r="A143" s="1" t="s">
        <v>1475</v>
      </c>
      <c r="B143" s="1" t="s">
        <v>1464</v>
      </c>
      <c r="C143" s="1" t="str">
        <f t="shared" si="4"/>
        <v>CNTAO</v>
      </c>
      <c r="D143" s="1" t="str">
        <f t="shared" si="5"/>
        <v>CLSAI</v>
      </c>
      <c r="E143" s="1" t="str">
        <f>"https://www.hangyun365.com/Shipping?pol_code="&amp;Port_Optimization_365[[#This Row],[POL CODE]]&amp;"&amp;pod_code="&amp;Port_Optimization_365[[#This Row],[POD CODE]]</f>
        <v>https://www.hangyun365.com/Shipping?pol_code=CNTAO&amp;pod_code=CLSAI</v>
      </c>
    </row>
    <row r="144" spans="1:5" x14ac:dyDescent="0.3">
      <c r="A144" s="1" t="s">
        <v>1475</v>
      </c>
      <c r="B144" s="1" t="s">
        <v>1465</v>
      </c>
      <c r="C144" s="1" t="str">
        <f t="shared" si="4"/>
        <v>CNTAO</v>
      </c>
      <c r="D144" s="1" t="str">
        <f t="shared" si="5"/>
        <v>BRSSZ</v>
      </c>
      <c r="E144" s="1" t="str">
        <f>"https://www.hangyun365.com/Shipping?pol_code="&amp;Port_Optimization_365[[#This Row],[POL CODE]]&amp;"&amp;pod_code="&amp;Port_Optimization_365[[#This Row],[POD CODE]]</f>
        <v>https://www.hangyun365.com/Shipping?pol_code=CNTAO&amp;pod_code=BRSSZ</v>
      </c>
    </row>
    <row r="145" spans="1:5" x14ac:dyDescent="0.3">
      <c r="A145" s="1" t="s">
        <v>1475</v>
      </c>
      <c r="B145" s="1" t="s">
        <v>1466</v>
      </c>
      <c r="C145" s="1" t="str">
        <f t="shared" si="4"/>
        <v>CNTAO</v>
      </c>
      <c r="D145" s="1" t="str">
        <f t="shared" si="5"/>
        <v>PABLB</v>
      </c>
      <c r="E145" s="1" t="str">
        <f>"https://www.hangyun365.com/Shipping?pol_code="&amp;Port_Optimization_365[[#This Row],[POL CODE]]&amp;"&amp;pod_code="&amp;Port_Optimization_365[[#This Row],[POD CODE]]</f>
        <v>https://www.hangyun365.com/Shipping?pol_code=CNTAO&amp;pod_code=PABLB</v>
      </c>
    </row>
    <row r="146" spans="1:5" x14ac:dyDescent="0.3">
      <c r="A146" s="1" t="s">
        <v>1475</v>
      </c>
      <c r="B146" s="1" t="s">
        <v>1477</v>
      </c>
      <c r="C146" s="1" t="str">
        <f t="shared" si="4"/>
        <v>CNTAO</v>
      </c>
      <c r="D146" s="1" t="str">
        <f t="shared" si="5"/>
        <v>DOCAU</v>
      </c>
      <c r="E146" s="1" t="str">
        <f>"https://www.hangyun365.com/Shipping?pol_code="&amp;Port_Optimization_365[[#This Row],[POL CODE]]&amp;"&amp;pod_code="&amp;Port_Optimization_365[[#This Row],[POD CODE]]</f>
        <v>https://www.hangyun365.com/Shipping?pol_code=CNTAO&amp;pod_code=DOCAU</v>
      </c>
    </row>
    <row r="147" spans="1:5" x14ac:dyDescent="0.3">
      <c r="A147" s="1" t="s">
        <v>1475</v>
      </c>
      <c r="B147" s="1" t="s">
        <v>1467</v>
      </c>
      <c r="C147" s="1" t="str">
        <f t="shared" si="4"/>
        <v>CNTAO</v>
      </c>
      <c r="D147" s="1" t="str">
        <f t="shared" si="5"/>
        <v>AUBNE</v>
      </c>
      <c r="E147" s="1" t="str">
        <f>"https://www.hangyun365.com/Shipping?pol_code="&amp;Port_Optimization_365[[#This Row],[POL CODE]]&amp;"&amp;pod_code="&amp;Port_Optimization_365[[#This Row],[POD CODE]]</f>
        <v>https://www.hangyun365.com/Shipping?pol_code=CNTAO&amp;pod_code=AUBNE</v>
      </c>
    </row>
    <row r="148" spans="1:5" x14ac:dyDescent="0.3">
      <c r="A148" s="1" t="s">
        <v>1475</v>
      </c>
      <c r="B148" s="1" t="s">
        <v>1478</v>
      </c>
      <c r="C148" s="1" t="str">
        <f t="shared" si="4"/>
        <v>CNTAO</v>
      </c>
      <c r="D148" s="1" t="str">
        <f t="shared" si="5"/>
        <v>VUVLI</v>
      </c>
      <c r="E148" s="1" t="str">
        <f>"https://www.hangyun365.com/Shipping?pol_code="&amp;Port_Optimization_365[[#This Row],[POL CODE]]&amp;"&amp;pod_code="&amp;Port_Optimization_365[[#This Row],[POD CODE]]</f>
        <v>https://www.hangyun365.com/Shipping?pol_code=CNTAO&amp;pod_code=VUVLI</v>
      </c>
    </row>
    <row r="149" spans="1:5" x14ac:dyDescent="0.3">
      <c r="A149" s="1" t="s">
        <v>1475</v>
      </c>
      <c r="B149" s="1" t="s">
        <v>1404</v>
      </c>
      <c r="C149" s="1" t="str">
        <f t="shared" si="4"/>
        <v>CNTAO</v>
      </c>
      <c r="D149" s="1" t="str">
        <f t="shared" si="5"/>
        <v>VNSGN</v>
      </c>
      <c r="E149" s="1" t="str">
        <f>"https://www.hangyun365.com/Shipping?pol_code="&amp;Port_Optimization_365[[#This Row],[POL CODE]]&amp;"&amp;pod_code="&amp;Port_Optimization_365[[#This Row],[POD CODE]]</f>
        <v>https://www.hangyun365.com/Shipping?pol_code=CNTAO&amp;pod_code=VNSGN</v>
      </c>
    </row>
    <row r="150" spans="1:5" x14ac:dyDescent="0.3">
      <c r="A150" s="1" t="s">
        <v>1475</v>
      </c>
      <c r="B150" s="1" t="s">
        <v>1405</v>
      </c>
      <c r="C150" s="1" t="str">
        <f t="shared" si="4"/>
        <v>CNTAO</v>
      </c>
      <c r="D150" s="1" t="str">
        <f t="shared" si="5"/>
        <v>PHMNL</v>
      </c>
      <c r="E150" s="1" t="str">
        <f>"https://www.hangyun365.com/Shipping?pol_code="&amp;Port_Optimization_365[[#This Row],[POL CODE]]&amp;"&amp;pod_code="&amp;Port_Optimization_365[[#This Row],[POD CODE]]</f>
        <v>https://www.hangyun365.com/Shipping?pol_code=CNTAO&amp;pod_code=PHMNL</v>
      </c>
    </row>
    <row r="151" spans="1:5" x14ac:dyDescent="0.3">
      <c r="A151" s="1" t="s">
        <v>1475</v>
      </c>
      <c r="B151" s="1" t="s">
        <v>1407</v>
      </c>
      <c r="C151" s="1" t="str">
        <f t="shared" si="4"/>
        <v>CNTAO</v>
      </c>
      <c r="D151" s="1" t="str">
        <f t="shared" si="5"/>
        <v>VNHPH</v>
      </c>
      <c r="E151" s="1" t="str">
        <f>"https://www.hangyun365.com/Shipping?pol_code="&amp;Port_Optimization_365[[#This Row],[POL CODE]]&amp;"&amp;pod_code="&amp;Port_Optimization_365[[#This Row],[POD CODE]]</f>
        <v>https://www.hangyun365.com/Shipping?pol_code=CNTAO&amp;pod_code=VNHPH</v>
      </c>
    </row>
    <row r="152" spans="1:5" x14ac:dyDescent="0.3">
      <c r="A152" s="1" t="s">
        <v>1475</v>
      </c>
      <c r="B152" s="1" t="s">
        <v>1406</v>
      </c>
      <c r="C152" s="1" t="str">
        <f t="shared" si="4"/>
        <v>CNTAO</v>
      </c>
      <c r="D152" s="1" t="str">
        <f t="shared" si="5"/>
        <v>IDJKT</v>
      </c>
      <c r="E152" s="1" t="str">
        <f>"https://www.hangyun365.com/Shipping?pol_code="&amp;Port_Optimization_365[[#This Row],[POL CODE]]&amp;"&amp;pod_code="&amp;Port_Optimization_365[[#This Row],[POD CODE]]</f>
        <v>https://www.hangyun365.com/Shipping?pol_code=CNTAO&amp;pod_code=IDJKT</v>
      </c>
    </row>
    <row r="153" spans="1:5" x14ac:dyDescent="0.3">
      <c r="A153" s="1" t="s">
        <v>1475</v>
      </c>
      <c r="B153" s="1" t="s">
        <v>1408</v>
      </c>
      <c r="C153" s="1" t="str">
        <f t="shared" si="4"/>
        <v>CNTAO</v>
      </c>
      <c r="D153" s="1" t="str">
        <f t="shared" si="5"/>
        <v>THLCH</v>
      </c>
      <c r="E153" s="1" t="str">
        <f>"https://www.hangyun365.com/Shipping?pol_code="&amp;Port_Optimization_365[[#This Row],[POL CODE]]&amp;"&amp;pod_code="&amp;Port_Optimization_365[[#This Row],[POD CODE]]</f>
        <v>https://www.hangyun365.com/Shipping?pol_code=CNTAO&amp;pod_code=THLCH</v>
      </c>
    </row>
    <row r="154" spans="1:5" x14ac:dyDescent="0.3">
      <c r="A154" s="1" t="s">
        <v>1475</v>
      </c>
      <c r="B154" s="1" t="s">
        <v>1470</v>
      </c>
      <c r="C154" s="1" t="str">
        <f t="shared" si="4"/>
        <v>CNTAO</v>
      </c>
      <c r="D154" s="1" t="str">
        <f t="shared" si="5"/>
        <v>MYPEN</v>
      </c>
      <c r="E154" s="1" t="str">
        <f>"https://www.hangyun365.com/Shipping?pol_code="&amp;Port_Optimization_365[[#This Row],[POL CODE]]&amp;"&amp;pod_code="&amp;Port_Optimization_365[[#This Row],[POD CODE]]</f>
        <v>https://www.hangyun365.com/Shipping?pol_code=CNTAO&amp;pod_code=MYPEN</v>
      </c>
    </row>
    <row r="155" spans="1:5" x14ac:dyDescent="0.3">
      <c r="A155" s="1" t="s">
        <v>1475</v>
      </c>
      <c r="B155" s="1" t="s">
        <v>1410</v>
      </c>
      <c r="C155" s="1" t="str">
        <f t="shared" si="4"/>
        <v>CNTAO</v>
      </c>
      <c r="D155" s="1" t="str">
        <f t="shared" si="5"/>
        <v>IDSUB</v>
      </c>
      <c r="E155" s="1" t="str">
        <f>"https://www.hangyun365.com/Shipping?pol_code="&amp;Port_Optimization_365[[#This Row],[POL CODE]]&amp;"&amp;pod_code="&amp;Port_Optimization_365[[#This Row],[POD CODE]]</f>
        <v>https://www.hangyun365.com/Shipping?pol_code=CNTAO&amp;pod_code=IDSUB</v>
      </c>
    </row>
    <row r="156" spans="1:5" x14ac:dyDescent="0.3">
      <c r="A156" s="1" t="s">
        <v>1475</v>
      </c>
      <c r="B156" s="1" t="s">
        <v>1414</v>
      </c>
      <c r="C156" s="1" t="str">
        <f t="shared" si="4"/>
        <v>CNTAO</v>
      </c>
      <c r="D156" s="1" t="str">
        <f t="shared" si="5"/>
        <v>MYPGU</v>
      </c>
      <c r="E156" s="1" t="str">
        <f>"https://www.hangyun365.com/Shipping?pol_code="&amp;Port_Optimization_365[[#This Row],[POL CODE]]&amp;"&amp;pod_code="&amp;Port_Optimization_365[[#This Row],[POD CODE]]</f>
        <v>https://www.hangyun365.com/Shipping?pol_code=CNTAO&amp;pod_code=MYPGU</v>
      </c>
    </row>
    <row r="157" spans="1:5" x14ac:dyDescent="0.3">
      <c r="A157" s="1" t="s">
        <v>1475</v>
      </c>
      <c r="B157" s="1" t="s">
        <v>1415</v>
      </c>
      <c r="C157" s="1" t="str">
        <f t="shared" si="4"/>
        <v>CNTAO</v>
      </c>
      <c r="D157" s="1" t="str">
        <f t="shared" si="5"/>
        <v>MYPKG</v>
      </c>
      <c r="E157" s="1" t="str">
        <f>"https://www.hangyun365.com/Shipping?pol_code="&amp;Port_Optimization_365[[#This Row],[POL CODE]]&amp;"&amp;pod_code="&amp;Port_Optimization_365[[#This Row],[POD CODE]]</f>
        <v>https://www.hangyun365.com/Shipping?pol_code=CNTAO&amp;pod_code=MYPKG</v>
      </c>
    </row>
    <row r="158" spans="1:5" x14ac:dyDescent="0.3">
      <c r="A158" s="1" t="s">
        <v>1475</v>
      </c>
      <c r="B158" s="1" t="s">
        <v>1413</v>
      </c>
      <c r="C158" s="1" t="str">
        <f t="shared" si="4"/>
        <v>CNTAO</v>
      </c>
      <c r="D158" s="1" t="str">
        <f t="shared" si="5"/>
        <v>PHDVO</v>
      </c>
      <c r="E158" s="1" t="str">
        <f>"https://www.hangyun365.com/Shipping?pol_code="&amp;Port_Optimization_365[[#This Row],[POL CODE]]&amp;"&amp;pod_code="&amp;Port_Optimization_365[[#This Row],[POD CODE]]</f>
        <v>https://www.hangyun365.com/Shipping?pol_code=CNTAO&amp;pod_code=PHDVO</v>
      </c>
    </row>
    <row r="159" spans="1:5" x14ac:dyDescent="0.3">
      <c r="A159" s="1" t="s">
        <v>1475</v>
      </c>
      <c r="B159" s="1" t="s">
        <v>1412</v>
      </c>
      <c r="C159" s="1" t="str">
        <f t="shared" si="4"/>
        <v>CNTAO</v>
      </c>
      <c r="D159" s="1" t="str">
        <f t="shared" si="5"/>
        <v>KHKOS</v>
      </c>
      <c r="E159" s="1" t="str">
        <f>"https://www.hangyun365.com/Shipping?pol_code="&amp;Port_Optimization_365[[#This Row],[POL CODE]]&amp;"&amp;pod_code="&amp;Port_Optimization_365[[#This Row],[POD CODE]]</f>
        <v>https://www.hangyun365.com/Shipping?pol_code=CNTAO&amp;pod_code=KHKOS</v>
      </c>
    </row>
    <row r="160" spans="1:5" x14ac:dyDescent="0.3">
      <c r="A160" s="1" t="s">
        <v>1475</v>
      </c>
      <c r="B160" s="1" t="s">
        <v>1479</v>
      </c>
      <c r="C160" s="1" t="str">
        <f t="shared" si="4"/>
        <v>CNTAO</v>
      </c>
      <c r="D160" s="1" t="str">
        <f t="shared" si="5"/>
        <v>VNTOT</v>
      </c>
      <c r="E160" s="1" t="str">
        <f>"https://www.hangyun365.com/Shipping?pol_code="&amp;Port_Optimization_365[[#This Row],[POL CODE]]&amp;"&amp;pod_code="&amp;Port_Optimization_365[[#This Row],[POD CODE]]</f>
        <v>https://www.hangyun365.com/Shipping?pol_code=CNTAO&amp;pod_code=VNTOT</v>
      </c>
    </row>
    <row r="161" spans="1:5" x14ac:dyDescent="0.3">
      <c r="A161" s="1" t="s">
        <v>1475</v>
      </c>
      <c r="B161" s="1" t="s">
        <v>1409</v>
      </c>
      <c r="C161" s="1" t="str">
        <f t="shared" si="4"/>
        <v>CNTAO</v>
      </c>
      <c r="D161" s="1" t="str">
        <f t="shared" si="5"/>
        <v>MYTPP</v>
      </c>
      <c r="E161" s="1" t="str">
        <f>"https://www.hangyun365.com/Shipping?pol_code="&amp;Port_Optimization_365[[#This Row],[POL CODE]]&amp;"&amp;pod_code="&amp;Port_Optimization_365[[#This Row],[POD CODE]]</f>
        <v>https://www.hangyun365.com/Shipping?pol_code=CNTAO&amp;pod_code=MYTPP</v>
      </c>
    </row>
    <row r="162" spans="1:5" x14ac:dyDescent="0.3">
      <c r="A162" s="1" t="s">
        <v>1475</v>
      </c>
      <c r="B162" s="1" t="s">
        <v>1411</v>
      </c>
      <c r="C162" s="1" t="str">
        <f t="shared" si="4"/>
        <v>CNTAO</v>
      </c>
      <c r="D162" s="1" t="str">
        <f t="shared" si="5"/>
        <v>SGSIN</v>
      </c>
      <c r="E162" s="1" t="str">
        <f>"https://www.hangyun365.com/Shipping?pol_code="&amp;Port_Optimization_365[[#This Row],[POL CODE]]&amp;"&amp;pod_code="&amp;Port_Optimization_365[[#This Row],[POD CODE]]</f>
        <v>https://www.hangyun365.com/Shipping?pol_code=CNTAO&amp;pod_code=SGSIN</v>
      </c>
    </row>
    <row r="163" spans="1:5" x14ac:dyDescent="0.3">
      <c r="A163" s="1" t="s">
        <v>1475</v>
      </c>
      <c r="B163" s="1" t="s">
        <v>1416</v>
      </c>
      <c r="C163" s="1" t="str">
        <f t="shared" si="4"/>
        <v>CNTAO</v>
      </c>
      <c r="D163" s="1" t="str">
        <f t="shared" si="5"/>
        <v>HKHKG</v>
      </c>
      <c r="E163" s="1" t="str">
        <f>"https://www.hangyun365.com/Shipping?pol_code="&amp;Port_Optimization_365[[#This Row],[POL CODE]]&amp;"&amp;pod_code="&amp;Port_Optimization_365[[#This Row],[POD CODE]]</f>
        <v>https://www.hangyun365.com/Shipping?pol_code=CNTAO&amp;pod_code=HKHKG</v>
      </c>
    </row>
    <row r="164" spans="1:5" x14ac:dyDescent="0.3">
      <c r="A164" s="1" t="s">
        <v>1475</v>
      </c>
      <c r="B164" s="1" t="s">
        <v>1471</v>
      </c>
      <c r="C164" s="1" t="str">
        <f t="shared" si="4"/>
        <v>CNTAO</v>
      </c>
      <c r="D164" s="1" t="str">
        <f t="shared" si="5"/>
        <v>BDCGP</v>
      </c>
      <c r="E164" s="1" t="str">
        <f>"https://www.hangyun365.com/Shipping?pol_code="&amp;Port_Optimization_365[[#This Row],[POL CODE]]&amp;"&amp;pod_code="&amp;Port_Optimization_365[[#This Row],[POD CODE]]</f>
        <v>https://www.hangyun365.com/Shipping?pol_code=CNTAO&amp;pod_code=BDCGP</v>
      </c>
    </row>
    <row r="165" spans="1:5" x14ac:dyDescent="0.3">
      <c r="A165" s="1" t="s">
        <v>1475</v>
      </c>
      <c r="B165" s="1" t="s">
        <v>1417</v>
      </c>
      <c r="C165" s="1" t="str">
        <f t="shared" si="4"/>
        <v>CNTAO</v>
      </c>
      <c r="D165" s="1" t="str">
        <f t="shared" si="5"/>
        <v>KRPUS</v>
      </c>
      <c r="E165" s="1" t="str">
        <f>"https://www.hangyun365.com/Shipping?pol_code="&amp;Port_Optimization_365[[#This Row],[POL CODE]]&amp;"&amp;pod_code="&amp;Port_Optimization_365[[#This Row],[POD CODE]]</f>
        <v>https://www.hangyun365.com/Shipping?pol_code=CNTAO&amp;pod_code=KRPUS</v>
      </c>
    </row>
    <row r="166" spans="1:5" x14ac:dyDescent="0.3">
      <c r="A166" s="1" t="s">
        <v>1475</v>
      </c>
      <c r="B166" s="1" t="s">
        <v>1418</v>
      </c>
      <c r="C166" s="1" t="str">
        <f t="shared" si="4"/>
        <v>CNTAO</v>
      </c>
      <c r="D166" s="1" t="str">
        <f t="shared" si="5"/>
        <v>JPYOK</v>
      </c>
      <c r="E166" s="1" t="str">
        <f>"https://www.hangyun365.com/Shipping?pol_code="&amp;Port_Optimization_365[[#This Row],[POL CODE]]&amp;"&amp;pod_code="&amp;Port_Optimization_365[[#This Row],[POD CODE]]</f>
        <v>https://www.hangyun365.com/Shipping?pol_code=CNTAO&amp;pod_code=JPYOK</v>
      </c>
    </row>
    <row r="167" spans="1:5" x14ac:dyDescent="0.3">
      <c r="A167" s="1" t="s">
        <v>1475</v>
      </c>
      <c r="B167" s="1" t="s">
        <v>1432</v>
      </c>
      <c r="C167" s="1" t="str">
        <f t="shared" si="4"/>
        <v>CNTAO</v>
      </c>
      <c r="D167" s="1" t="str">
        <f t="shared" si="5"/>
        <v>KRKWA</v>
      </c>
      <c r="E167" s="1" t="str">
        <f>"https://www.hangyun365.com/Shipping?pol_code="&amp;Port_Optimization_365[[#This Row],[POL CODE]]&amp;"&amp;pod_code="&amp;Port_Optimization_365[[#This Row],[POD CODE]]</f>
        <v>https://www.hangyun365.com/Shipping?pol_code=CNTAO&amp;pod_code=KRKWA</v>
      </c>
    </row>
    <row r="168" spans="1:5" x14ac:dyDescent="0.3">
      <c r="A168" s="1" t="s">
        <v>1475</v>
      </c>
      <c r="B168" s="1" t="s">
        <v>1426</v>
      </c>
      <c r="C168" s="1" t="str">
        <f t="shared" si="4"/>
        <v>CNTAO</v>
      </c>
      <c r="D168" s="1" t="str">
        <f t="shared" si="5"/>
        <v>JPOSA</v>
      </c>
      <c r="E168" s="1" t="str">
        <f>"https://www.hangyun365.com/Shipping?pol_code="&amp;Port_Optimization_365[[#This Row],[POL CODE]]&amp;"&amp;pod_code="&amp;Port_Optimization_365[[#This Row],[POD CODE]]</f>
        <v>https://www.hangyun365.com/Shipping?pol_code=CNTAO&amp;pod_code=JPOSA</v>
      </c>
    </row>
    <row r="169" spans="1:5" x14ac:dyDescent="0.3">
      <c r="A169" s="1" t="s">
        <v>1475</v>
      </c>
      <c r="B169" s="1" t="s">
        <v>1427</v>
      </c>
      <c r="C169" s="1" t="str">
        <f t="shared" si="4"/>
        <v>CNTAO</v>
      </c>
      <c r="D169" s="1" t="str">
        <f t="shared" si="5"/>
        <v>KRPTK</v>
      </c>
      <c r="E169" s="1" t="str">
        <f>"https://www.hangyun365.com/Shipping?pol_code="&amp;Port_Optimization_365[[#This Row],[POL CODE]]&amp;"&amp;pod_code="&amp;Port_Optimization_365[[#This Row],[POD CODE]]</f>
        <v>https://www.hangyun365.com/Shipping?pol_code=CNTAO&amp;pod_code=KRPTK</v>
      </c>
    </row>
    <row r="170" spans="1:5" x14ac:dyDescent="0.3">
      <c r="A170" s="1" t="s">
        <v>1475</v>
      </c>
      <c r="B170" s="1" t="s">
        <v>1428</v>
      </c>
      <c r="C170" s="1" t="str">
        <f t="shared" si="4"/>
        <v>CNTAO</v>
      </c>
      <c r="D170" s="1" t="str">
        <f t="shared" si="5"/>
        <v>RUVYP</v>
      </c>
      <c r="E170" s="1" t="str">
        <f>"https://www.hangyun365.com/Shipping?pol_code="&amp;Port_Optimization_365[[#This Row],[POL CODE]]&amp;"&amp;pod_code="&amp;Port_Optimization_365[[#This Row],[POD CODE]]</f>
        <v>https://www.hangyun365.com/Shipping?pol_code=CNTAO&amp;pod_code=RUVYP</v>
      </c>
    </row>
    <row r="171" spans="1:5" x14ac:dyDescent="0.3">
      <c r="A171" s="1" t="s">
        <v>1475</v>
      </c>
      <c r="B171" s="1" t="s">
        <v>1474</v>
      </c>
      <c r="C171" s="1" t="str">
        <f t="shared" si="4"/>
        <v>CNTAO</v>
      </c>
      <c r="D171" s="1" t="str">
        <f t="shared" si="5"/>
        <v>JPNGO</v>
      </c>
      <c r="E171" s="1" t="str">
        <f>"https://www.hangyun365.com/Shipping?pol_code="&amp;Port_Optimization_365[[#This Row],[POL CODE]]&amp;"&amp;pod_code="&amp;Port_Optimization_365[[#This Row],[POD CODE]]</f>
        <v>https://www.hangyun365.com/Shipping?pol_code=CNTAO&amp;pod_code=JPNGO</v>
      </c>
    </row>
    <row r="172" spans="1:5" x14ac:dyDescent="0.3">
      <c r="A172" s="1" t="s">
        <v>1475</v>
      </c>
      <c r="B172" s="1" t="s">
        <v>1422</v>
      </c>
      <c r="C172" s="1" t="str">
        <f t="shared" si="4"/>
        <v>CNTAO</v>
      </c>
      <c r="D172" s="1" t="str">
        <f t="shared" si="5"/>
        <v>JPSBS</v>
      </c>
      <c r="E172" s="1" t="str">
        <f>"https://www.hangyun365.com/Shipping?pol_code="&amp;Port_Optimization_365[[#This Row],[POL CODE]]&amp;"&amp;pod_code="&amp;Port_Optimization_365[[#This Row],[POD CODE]]</f>
        <v>https://www.hangyun365.com/Shipping?pol_code=CNTAO&amp;pod_code=JPSBS</v>
      </c>
    </row>
    <row r="173" spans="1:5" x14ac:dyDescent="0.3">
      <c r="A173" s="1" t="s">
        <v>1475</v>
      </c>
      <c r="B173" s="1" t="s">
        <v>1433</v>
      </c>
      <c r="C173" s="1" t="str">
        <f t="shared" si="4"/>
        <v>CNTAO</v>
      </c>
      <c r="D173" s="1" t="str">
        <f t="shared" si="5"/>
        <v>KRINC</v>
      </c>
      <c r="E173" s="1" t="str">
        <f>"https://www.hangyun365.com/Shipping?pol_code="&amp;Port_Optimization_365[[#This Row],[POL CODE]]&amp;"&amp;pod_code="&amp;Port_Optimization_365[[#This Row],[POD CODE]]</f>
        <v>https://www.hangyun365.com/Shipping?pol_code=CNTAO&amp;pod_code=KRINC</v>
      </c>
    </row>
    <row r="174" spans="1:5" x14ac:dyDescent="0.3">
      <c r="A174" s="1" t="s">
        <v>1475</v>
      </c>
      <c r="B174" s="1" t="s">
        <v>1480</v>
      </c>
      <c r="C174" s="1" t="str">
        <f t="shared" si="4"/>
        <v>CNTAO</v>
      </c>
      <c r="D174" s="1" t="str">
        <f t="shared" si="5"/>
        <v>JPTOY</v>
      </c>
      <c r="E174" s="1" t="str">
        <f>"https://www.hangyun365.com/Shipping?pol_code="&amp;Port_Optimization_365[[#This Row],[POL CODE]]&amp;"&amp;pod_code="&amp;Port_Optimization_365[[#This Row],[POD CODE]]</f>
        <v>https://www.hangyun365.com/Shipping?pol_code=CNTAO&amp;pod_code=JPTOY</v>
      </c>
    </row>
    <row r="175" spans="1:5" x14ac:dyDescent="0.3">
      <c r="A175" s="1" t="s">
        <v>1475</v>
      </c>
      <c r="B175" s="1" t="s">
        <v>1425</v>
      </c>
      <c r="C175" s="1" t="str">
        <f t="shared" si="4"/>
        <v>CNTAO</v>
      </c>
      <c r="D175" s="1" t="str">
        <f t="shared" si="5"/>
        <v>JPIMI</v>
      </c>
      <c r="E175" s="1" t="str">
        <f>"https://www.hangyun365.com/Shipping?pol_code="&amp;Port_Optimization_365[[#This Row],[POL CODE]]&amp;"&amp;pod_code="&amp;Port_Optimization_365[[#This Row],[POD CODE]]</f>
        <v>https://www.hangyun365.com/Shipping?pol_code=CNTAO&amp;pod_code=JPIMI</v>
      </c>
    </row>
    <row r="176" spans="1:5" x14ac:dyDescent="0.3">
      <c r="A176" s="1" t="s">
        <v>1475</v>
      </c>
      <c r="B176" s="1" t="s">
        <v>1481</v>
      </c>
      <c r="C176" s="1" t="str">
        <f t="shared" si="4"/>
        <v>CNTAO</v>
      </c>
      <c r="D176" s="1" t="str">
        <f t="shared" si="5"/>
        <v>KRCHA</v>
      </c>
      <c r="E176" s="1" t="str">
        <f>"https://www.hangyun365.com/Shipping?pol_code="&amp;Port_Optimization_365[[#This Row],[POL CODE]]&amp;"&amp;pod_code="&amp;Port_Optimization_365[[#This Row],[POD CODE]]</f>
        <v>https://www.hangyun365.com/Shipping?pol_code=CNTAO&amp;pod_code=KRCHA</v>
      </c>
    </row>
    <row r="177" spans="1:5" x14ac:dyDescent="0.3">
      <c r="A177" s="1" t="s">
        <v>1475</v>
      </c>
      <c r="B177" s="1" t="s">
        <v>1424</v>
      </c>
      <c r="C177" s="1" t="str">
        <f t="shared" si="4"/>
        <v>CNTAO</v>
      </c>
      <c r="D177" s="1" t="str">
        <f t="shared" si="5"/>
        <v>RUVVO</v>
      </c>
      <c r="E177" s="1" t="str">
        <f>"https://www.hangyun365.com/Shipping?pol_code="&amp;Port_Optimization_365[[#This Row],[POL CODE]]&amp;"&amp;pod_code="&amp;Port_Optimization_365[[#This Row],[POD CODE]]</f>
        <v>https://www.hangyun365.com/Shipping?pol_code=CNTAO&amp;pod_code=RUVVO</v>
      </c>
    </row>
    <row r="178" spans="1:5" x14ac:dyDescent="0.3">
      <c r="A178" s="1" t="s">
        <v>1482</v>
      </c>
      <c r="B178" s="1" t="s">
        <v>1444</v>
      </c>
      <c r="C178" s="1" t="str">
        <f t="shared" si="4"/>
        <v>CNRZH</v>
      </c>
      <c r="D178" s="1" t="str">
        <f t="shared" si="5"/>
        <v>RULED</v>
      </c>
      <c r="E178" s="1" t="str">
        <f>"https://www.hangyun365.com/Shipping?pol_code="&amp;Port_Optimization_365[[#This Row],[POL CODE]]&amp;"&amp;pod_code="&amp;Port_Optimization_365[[#This Row],[POD CODE]]</f>
        <v>https://www.hangyun365.com/Shipping?pol_code=CNRZH&amp;pod_code=RULED</v>
      </c>
    </row>
    <row r="179" spans="1:5" x14ac:dyDescent="0.3">
      <c r="A179" s="1" t="s">
        <v>1482</v>
      </c>
      <c r="B179" s="1" t="s">
        <v>1449</v>
      </c>
      <c r="C179" s="1" t="str">
        <f t="shared" si="4"/>
        <v>CNRZH</v>
      </c>
      <c r="D179" s="1" t="str">
        <f t="shared" si="5"/>
        <v>RUNVS</v>
      </c>
      <c r="E179" s="1" t="str">
        <f>"https://www.hangyun365.com/Shipping?pol_code="&amp;Port_Optimization_365[[#This Row],[POL CODE]]&amp;"&amp;pod_code="&amp;Port_Optimization_365[[#This Row],[POD CODE]]</f>
        <v>https://www.hangyun365.com/Shipping?pol_code=CNRZH&amp;pod_code=RUNVS</v>
      </c>
    </row>
    <row r="180" spans="1:5" x14ac:dyDescent="0.3">
      <c r="A180" s="1" t="s">
        <v>1482</v>
      </c>
      <c r="B180" s="1" t="s">
        <v>1405</v>
      </c>
      <c r="C180" s="1" t="str">
        <f t="shared" si="4"/>
        <v>CNRZH</v>
      </c>
      <c r="D180" s="1" t="str">
        <f t="shared" si="5"/>
        <v>PHMNL</v>
      </c>
      <c r="E180" s="1" t="str">
        <f>"https://www.hangyun365.com/Shipping?pol_code="&amp;Port_Optimization_365[[#This Row],[POL CODE]]&amp;"&amp;pod_code="&amp;Port_Optimization_365[[#This Row],[POD CODE]]</f>
        <v>https://www.hangyun365.com/Shipping?pol_code=CNRZH&amp;pod_code=PHMNL</v>
      </c>
    </row>
    <row r="181" spans="1:5" x14ac:dyDescent="0.3">
      <c r="A181" s="1" t="s">
        <v>1482</v>
      </c>
      <c r="B181" s="1" t="s">
        <v>1408</v>
      </c>
      <c r="C181" s="1" t="str">
        <f t="shared" si="4"/>
        <v>CNRZH</v>
      </c>
      <c r="D181" s="1" t="str">
        <f t="shared" si="5"/>
        <v>THLCH</v>
      </c>
      <c r="E181" s="1" t="str">
        <f>"https://www.hangyun365.com/Shipping?pol_code="&amp;Port_Optimization_365[[#This Row],[POL CODE]]&amp;"&amp;pod_code="&amp;Port_Optimization_365[[#This Row],[POD CODE]]</f>
        <v>https://www.hangyun365.com/Shipping?pol_code=CNRZH&amp;pod_code=THLCH</v>
      </c>
    </row>
    <row r="182" spans="1:5" x14ac:dyDescent="0.3">
      <c r="A182" s="1" t="s">
        <v>1482</v>
      </c>
      <c r="B182" s="1" t="s">
        <v>1428</v>
      </c>
      <c r="C182" s="1" t="str">
        <f t="shared" si="4"/>
        <v>CNRZH</v>
      </c>
      <c r="D182" s="1" t="str">
        <f t="shared" si="5"/>
        <v>RUVYP</v>
      </c>
      <c r="E182" s="1" t="str">
        <f>"https://www.hangyun365.com/Shipping?pol_code="&amp;Port_Optimization_365[[#This Row],[POL CODE]]&amp;"&amp;pod_code="&amp;Port_Optimization_365[[#This Row],[POD CODE]]</f>
        <v>https://www.hangyun365.com/Shipping?pol_code=CNRZH&amp;pod_code=RUVYP</v>
      </c>
    </row>
    <row r="183" spans="1:5" x14ac:dyDescent="0.3">
      <c r="A183" s="1" t="s">
        <v>1482</v>
      </c>
      <c r="B183" s="1" t="s">
        <v>1421</v>
      </c>
      <c r="C183" s="1" t="str">
        <f t="shared" si="4"/>
        <v>CNRZH</v>
      </c>
      <c r="D183" s="1" t="str">
        <f t="shared" si="5"/>
        <v>TWKHH</v>
      </c>
      <c r="E183" s="1" t="str">
        <f>"https://www.hangyun365.com/Shipping?pol_code="&amp;Port_Optimization_365[[#This Row],[POL CODE]]&amp;"&amp;pod_code="&amp;Port_Optimization_365[[#This Row],[POD CODE]]</f>
        <v>https://www.hangyun365.com/Shipping?pol_code=CNRZH&amp;pod_code=TWKHH</v>
      </c>
    </row>
    <row r="184" spans="1:5" x14ac:dyDescent="0.3">
      <c r="A184" s="1" t="s">
        <v>1482</v>
      </c>
      <c r="B184" s="1" t="s">
        <v>1424</v>
      </c>
      <c r="C184" s="1" t="str">
        <f t="shared" si="4"/>
        <v>CNRZH</v>
      </c>
      <c r="D184" s="1" t="str">
        <f t="shared" si="5"/>
        <v>RUVVO</v>
      </c>
      <c r="E184" s="1" t="str">
        <f>"https://www.hangyun365.com/Shipping?pol_code="&amp;Port_Optimization_365[[#This Row],[POL CODE]]&amp;"&amp;pod_code="&amp;Port_Optimization_365[[#This Row],[POD CODE]]</f>
        <v>https://www.hangyun365.com/Shipping?pol_code=CNRZH&amp;pod_code=RUVVO</v>
      </c>
    </row>
    <row r="185" spans="1:5" x14ac:dyDescent="0.3">
      <c r="A185" s="1" t="s">
        <v>1482</v>
      </c>
      <c r="B185" s="1" t="s">
        <v>1431</v>
      </c>
      <c r="C185" s="1" t="str">
        <f t="shared" si="4"/>
        <v>CNRZH</v>
      </c>
      <c r="D185" s="1" t="str">
        <f t="shared" si="5"/>
        <v>JPTYO</v>
      </c>
      <c r="E185" s="1" t="str">
        <f>"https://www.hangyun365.com/Shipping?pol_code="&amp;Port_Optimization_365[[#This Row],[POL CODE]]&amp;"&amp;pod_code="&amp;Port_Optimization_365[[#This Row],[POD CODE]]</f>
        <v>https://www.hangyun365.com/Shipping?pol_code=CNRZH&amp;pod_code=JPTYO</v>
      </c>
    </row>
    <row r="186" spans="1:5" x14ac:dyDescent="0.3">
      <c r="A186" s="1" t="s">
        <v>1482</v>
      </c>
      <c r="B186" s="1" t="s">
        <v>1417</v>
      </c>
      <c r="C186" s="1" t="str">
        <f t="shared" si="4"/>
        <v>CNRZH</v>
      </c>
      <c r="D186" s="1" t="str">
        <f t="shared" si="5"/>
        <v>KRPUS</v>
      </c>
      <c r="E186" s="1" t="str">
        <f>"https://www.hangyun365.com/Shipping?pol_code="&amp;Port_Optimization_365[[#This Row],[POL CODE]]&amp;"&amp;pod_code="&amp;Port_Optimization_365[[#This Row],[POD CODE]]</f>
        <v>https://www.hangyun365.com/Shipping?pol_code=CNRZH&amp;pod_code=KRPUS</v>
      </c>
    </row>
    <row r="187" spans="1:5" x14ac:dyDescent="0.3">
      <c r="A187" s="1" t="s">
        <v>1483</v>
      </c>
      <c r="B187" s="1" t="s">
        <v>1435</v>
      </c>
      <c r="C187" s="1" t="str">
        <f t="shared" si="4"/>
        <v>CNSHA</v>
      </c>
      <c r="D187" s="1" t="str">
        <f t="shared" si="5"/>
        <v>USLGB</v>
      </c>
      <c r="E187" s="1" t="str">
        <f>"https://www.hangyun365.com/Shipping?pol_code="&amp;Port_Optimization_365[[#This Row],[POL CODE]]&amp;"&amp;pod_code="&amp;Port_Optimization_365[[#This Row],[POD CODE]]</f>
        <v>https://www.hangyun365.com/Shipping?pol_code=CNSHA&amp;pod_code=USLGB</v>
      </c>
    </row>
    <row r="188" spans="1:5" x14ac:dyDescent="0.3">
      <c r="A188" s="1" t="s">
        <v>1483</v>
      </c>
      <c r="B188" s="1" t="s">
        <v>1436</v>
      </c>
      <c r="C188" s="1" t="str">
        <f t="shared" si="4"/>
        <v>CNSHA</v>
      </c>
      <c r="D188" s="1" t="str">
        <f t="shared" si="5"/>
        <v>USLAX</v>
      </c>
      <c r="E188" s="1" t="str">
        <f>"https://www.hangyun365.com/Shipping?pol_code="&amp;Port_Optimization_365[[#This Row],[POL CODE]]&amp;"&amp;pod_code="&amp;Port_Optimization_365[[#This Row],[POD CODE]]</f>
        <v>https://www.hangyun365.com/Shipping?pol_code=CNSHA&amp;pod_code=USLAX</v>
      </c>
    </row>
    <row r="189" spans="1:5" x14ac:dyDescent="0.3">
      <c r="A189" s="1" t="s">
        <v>1483</v>
      </c>
      <c r="B189" s="1" t="s">
        <v>1437</v>
      </c>
      <c r="C189" s="1" t="str">
        <f t="shared" si="4"/>
        <v>CNSHA</v>
      </c>
      <c r="D189" s="1" t="str">
        <f t="shared" si="5"/>
        <v>USTIW</v>
      </c>
      <c r="E189" s="1" t="str">
        <f>"https://www.hangyun365.com/Shipping?pol_code="&amp;Port_Optimization_365[[#This Row],[POL CODE]]&amp;"&amp;pod_code="&amp;Port_Optimization_365[[#This Row],[POD CODE]]</f>
        <v>https://www.hangyun365.com/Shipping?pol_code=CNSHA&amp;pod_code=USTIW</v>
      </c>
    </row>
    <row r="190" spans="1:5" x14ac:dyDescent="0.3">
      <c r="A190" s="1" t="s">
        <v>1483</v>
      </c>
      <c r="B190" s="1" t="s">
        <v>1438</v>
      </c>
      <c r="C190" s="1" t="str">
        <f t="shared" si="4"/>
        <v>CNSHA</v>
      </c>
      <c r="D190" s="1" t="str">
        <f t="shared" si="5"/>
        <v>USSEA</v>
      </c>
      <c r="E190" s="1" t="str">
        <f>"https://www.hangyun365.com/Shipping?pol_code="&amp;Port_Optimization_365[[#This Row],[POL CODE]]&amp;"&amp;pod_code="&amp;Port_Optimization_365[[#This Row],[POD CODE]]</f>
        <v>https://www.hangyun365.com/Shipping?pol_code=CNSHA&amp;pod_code=USSEA</v>
      </c>
    </row>
    <row r="191" spans="1:5" x14ac:dyDescent="0.3">
      <c r="A191" s="1" t="s">
        <v>1483</v>
      </c>
      <c r="B191" s="1" t="s">
        <v>1439</v>
      </c>
      <c r="C191" s="1" t="str">
        <f t="shared" si="4"/>
        <v>CNSHA</v>
      </c>
      <c r="D191" s="1" t="str">
        <f t="shared" si="5"/>
        <v>USSAV</v>
      </c>
      <c r="E191" s="1" t="str">
        <f>"https://www.hangyun365.com/Shipping?pol_code="&amp;Port_Optimization_365[[#This Row],[POL CODE]]&amp;"&amp;pod_code="&amp;Port_Optimization_365[[#This Row],[POD CODE]]</f>
        <v>https://www.hangyun365.com/Shipping?pol_code=CNSHA&amp;pod_code=USSAV</v>
      </c>
    </row>
    <row r="192" spans="1:5" x14ac:dyDescent="0.3">
      <c r="A192" s="1" t="s">
        <v>1483</v>
      </c>
      <c r="B192" s="1" t="s">
        <v>1440</v>
      </c>
      <c r="C192" s="1" t="str">
        <f t="shared" si="4"/>
        <v>CNSHA</v>
      </c>
      <c r="D192" s="1" t="str">
        <f t="shared" si="5"/>
        <v>USHOU</v>
      </c>
      <c r="E192" s="1" t="str">
        <f>"https://www.hangyun365.com/Shipping?pol_code="&amp;Port_Optimization_365[[#This Row],[POL CODE]]&amp;"&amp;pod_code="&amp;Port_Optimization_365[[#This Row],[POD CODE]]</f>
        <v>https://www.hangyun365.com/Shipping?pol_code=CNSHA&amp;pod_code=USHOU</v>
      </c>
    </row>
    <row r="193" spans="1:5" x14ac:dyDescent="0.3">
      <c r="A193" s="1" t="s">
        <v>1483</v>
      </c>
      <c r="B193" s="1" t="s">
        <v>1441</v>
      </c>
      <c r="C193" s="1" t="str">
        <f t="shared" si="4"/>
        <v>CNSHA</v>
      </c>
      <c r="D193" s="1" t="str">
        <f t="shared" si="5"/>
        <v>USNYC</v>
      </c>
      <c r="E193" s="1" t="str">
        <f>"https://www.hangyun365.com/Shipping?pol_code="&amp;Port_Optimization_365[[#This Row],[POL CODE]]&amp;"&amp;pod_code="&amp;Port_Optimization_365[[#This Row],[POD CODE]]</f>
        <v>https://www.hangyun365.com/Shipping?pol_code=CNSHA&amp;pod_code=USNYC</v>
      </c>
    </row>
    <row r="194" spans="1:5" x14ac:dyDescent="0.3">
      <c r="A194" s="1" t="s">
        <v>1483</v>
      </c>
      <c r="B194" s="1" t="s">
        <v>1430</v>
      </c>
      <c r="C194" s="1" t="str">
        <f t="shared" ref="C194:C257" si="6">_xlfn.TEXTBEFORE(_xlfn.TEXTAFTER(A194,"|"),"|")</f>
        <v>CNSHA</v>
      </c>
      <c r="D194" s="1" t="str">
        <f t="shared" ref="D194:D257" si="7">_xlfn.TEXTBEFORE(_xlfn.TEXTAFTER(B194,"|"),"|")</f>
        <v>CAVAN</v>
      </c>
      <c r="E194" s="1" t="str">
        <f>"https://www.hangyun365.com/Shipping?pol_code="&amp;Port_Optimization_365[[#This Row],[POL CODE]]&amp;"&amp;pod_code="&amp;Port_Optimization_365[[#This Row],[POD CODE]]</f>
        <v>https://www.hangyun365.com/Shipping?pol_code=CNSHA&amp;pod_code=CAVAN</v>
      </c>
    </row>
    <row r="195" spans="1:5" x14ac:dyDescent="0.3">
      <c r="A195" s="1" t="s">
        <v>1483</v>
      </c>
      <c r="B195" s="1" t="s">
        <v>1442</v>
      </c>
      <c r="C195" s="1" t="str">
        <f t="shared" si="6"/>
        <v>CNSHA</v>
      </c>
      <c r="D195" s="1" t="str">
        <f t="shared" si="7"/>
        <v>CAPRR</v>
      </c>
      <c r="E195" s="1" t="str">
        <f>"https://www.hangyun365.com/Shipping?pol_code="&amp;Port_Optimization_365[[#This Row],[POL CODE]]&amp;"&amp;pod_code="&amp;Port_Optimization_365[[#This Row],[POD CODE]]</f>
        <v>https://www.hangyun365.com/Shipping?pol_code=CNSHA&amp;pod_code=CAPRR</v>
      </c>
    </row>
    <row r="196" spans="1:5" x14ac:dyDescent="0.3">
      <c r="A196" s="1" t="s">
        <v>1483</v>
      </c>
      <c r="B196" s="1" t="s">
        <v>1398</v>
      </c>
      <c r="C196" s="1" t="str">
        <f t="shared" si="6"/>
        <v>CNSHA</v>
      </c>
      <c r="D196" s="1" t="str">
        <f t="shared" si="7"/>
        <v>MXZLO</v>
      </c>
      <c r="E196" s="1" t="str">
        <f>"https://www.hangyun365.com/Shipping?pol_code="&amp;Port_Optimization_365[[#This Row],[POL CODE]]&amp;"&amp;pod_code="&amp;Port_Optimization_365[[#This Row],[POD CODE]]</f>
        <v>https://www.hangyun365.com/Shipping?pol_code=CNSHA&amp;pod_code=MXZLO</v>
      </c>
    </row>
    <row r="197" spans="1:5" x14ac:dyDescent="0.3">
      <c r="A197" s="1" t="s">
        <v>1483</v>
      </c>
      <c r="B197" s="1" t="s">
        <v>1443</v>
      </c>
      <c r="C197" s="1" t="str">
        <f t="shared" si="6"/>
        <v>CNSHA</v>
      </c>
      <c r="D197" s="1" t="str">
        <f t="shared" si="7"/>
        <v>MXLZC</v>
      </c>
      <c r="E197" s="1" t="str">
        <f>"https://www.hangyun365.com/Shipping?pol_code="&amp;Port_Optimization_365[[#This Row],[POL CODE]]&amp;"&amp;pod_code="&amp;Port_Optimization_365[[#This Row],[POD CODE]]</f>
        <v>https://www.hangyun365.com/Shipping?pol_code=CNSHA&amp;pod_code=MXLZC</v>
      </c>
    </row>
    <row r="198" spans="1:5" x14ac:dyDescent="0.3">
      <c r="A198" s="1" t="s">
        <v>1483</v>
      </c>
      <c r="B198" s="1" t="s">
        <v>1400</v>
      </c>
      <c r="C198" s="1" t="str">
        <f t="shared" si="6"/>
        <v>CNSHA</v>
      </c>
      <c r="D198" s="1" t="str">
        <f t="shared" si="7"/>
        <v>NLRTM</v>
      </c>
      <c r="E198" s="1" t="str">
        <f>"https://www.hangyun365.com/Shipping?pol_code="&amp;Port_Optimization_365[[#This Row],[POL CODE]]&amp;"&amp;pod_code="&amp;Port_Optimization_365[[#This Row],[POD CODE]]</f>
        <v>https://www.hangyun365.com/Shipping?pol_code=CNSHA&amp;pod_code=NLRTM</v>
      </c>
    </row>
    <row r="199" spans="1:5" x14ac:dyDescent="0.3">
      <c r="A199" s="1" t="s">
        <v>1483</v>
      </c>
      <c r="B199" s="1" t="s">
        <v>1444</v>
      </c>
      <c r="C199" s="1" t="str">
        <f t="shared" si="6"/>
        <v>CNSHA</v>
      </c>
      <c r="D199" s="1" t="str">
        <f t="shared" si="7"/>
        <v>RULED</v>
      </c>
      <c r="E199" s="1" t="str">
        <f>"https://www.hangyun365.com/Shipping?pol_code="&amp;Port_Optimization_365[[#This Row],[POL CODE]]&amp;"&amp;pod_code="&amp;Port_Optimization_365[[#This Row],[POD CODE]]</f>
        <v>https://www.hangyun365.com/Shipping?pol_code=CNSHA&amp;pod_code=RULED</v>
      </c>
    </row>
    <row r="200" spans="1:5" x14ac:dyDescent="0.3">
      <c r="A200" s="1" t="s">
        <v>1483</v>
      </c>
      <c r="B200" s="1" t="s">
        <v>1445</v>
      </c>
      <c r="C200" s="1" t="str">
        <f t="shared" si="6"/>
        <v>CNSHA</v>
      </c>
      <c r="D200" s="1" t="str">
        <f t="shared" si="7"/>
        <v>GBSOU</v>
      </c>
      <c r="E200" s="1" t="str">
        <f>"https://www.hangyun365.com/Shipping?pol_code="&amp;Port_Optimization_365[[#This Row],[POL CODE]]&amp;"&amp;pod_code="&amp;Port_Optimization_365[[#This Row],[POD CODE]]</f>
        <v>https://www.hangyun365.com/Shipping?pol_code=CNSHA&amp;pod_code=GBSOU</v>
      </c>
    </row>
    <row r="201" spans="1:5" x14ac:dyDescent="0.3">
      <c r="A201" s="1" t="s">
        <v>1483</v>
      </c>
      <c r="B201" s="1" t="s">
        <v>1399</v>
      </c>
      <c r="C201" s="1" t="str">
        <f t="shared" si="6"/>
        <v>CNSHA</v>
      </c>
      <c r="D201" s="1" t="str">
        <f t="shared" si="7"/>
        <v>GBFXT</v>
      </c>
      <c r="E201" s="1" t="str">
        <f>"https://www.hangyun365.com/Shipping?pol_code="&amp;Port_Optimization_365[[#This Row],[POL CODE]]&amp;"&amp;pod_code="&amp;Port_Optimization_365[[#This Row],[POD CODE]]</f>
        <v>https://www.hangyun365.com/Shipping?pol_code=CNSHA&amp;pod_code=GBFXT</v>
      </c>
    </row>
    <row r="202" spans="1:5" x14ac:dyDescent="0.3">
      <c r="A202" s="1" t="s">
        <v>1483</v>
      </c>
      <c r="B202" s="1" t="s">
        <v>1447</v>
      </c>
      <c r="C202" s="1" t="str">
        <f t="shared" si="6"/>
        <v>CNSHA</v>
      </c>
      <c r="D202" s="1" t="str">
        <f t="shared" si="7"/>
        <v>ESVLC</v>
      </c>
      <c r="E202" s="1" t="str">
        <f>"https://www.hangyun365.com/Shipping?pol_code="&amp;Port_Optimization_365[[#This Row],[POL CODE]]&amp;"&amp;pod_code="&amp;Port_Optimization_365[[#This Row],[POD CODE]]</f>
        <v>https://www.hangyun365.com/Shipping?pol_code=CNSHA&amp;pod_code=ESVLC</v>
      </c>
    </row>
    <row r="203" spans="1:5" x14ac:dyDescent="0.3">
      <c r="A203" s="1" t="s">
        <v>1483</v>
      </c>
      <c r="B203" s="1" t="s">
        <v>1448</v>
      </c>
      <c r="C203" s="1" t="str">
        <f t="shared" si="6"/>
        <v>CNSHA</v>
      </c>
      <c r="D203" s="1" t="str">
        <f t="shared" si="7"/>
        <v>SIKOP</v>
      </c>
      <c r="E203" s="1" t="str">
        <f>"https://www.hangyun365.com/Shipping?pol_code="&amp;Port_Optimization_365[[#This Row],[POL CODE]]&amp;"&amp;pod_code="&amp;Port_Optimization_365[[#This Row],[POD CODE]]</f>
        <v>https://www.hangyun365.com/Shipping?pol_code=CNSHA&amp;pod_code=SIKOP</v>
      </c>
    </row>
    <row r="204" spans="1:5" x14ac:dyDescent="0.3">
      <c r="A204" s="1" t="s">
        <v>1483</v>
      </c>
      <c r="B204" s="1" t="s">
        <v>1401</v>
      </c>
      <c r="C204" s="1" t="str">
        <f t="shared" si="6"/>
        <v>CNSHA</v>
      </c>
      <c r="D204" s="1" t="str">
        <f t="shared" si="7"/>
        <v>TRIST</v>
      </c>
      <c r="E204" s="1" t="str">
        <f>"https://www.hangyun365.com/Shipping?pol_code="&amp;Port_Optimization_365[[#This Row],[POL CODE]]&amp;"&amp;pod_code="&amp;Port_Optimization_365[[#This Row],[POD CODE]]</f>
        <v>https://www.hangyun365.com/Shipping?pol_code=CNSHA&amp;pod_code=TRIST</v>
      </c>
    </row>
    <row r="205" spans="1:5" x14ac:dyDescent="0.3">
      <c r="A205" s="1" t="s">
        <v>1483</v>
      </c>
      <c r="B205" s="1" t="s">
        <v>1449</v>
      </c>
      <c r="C205" s="1" t="str">
        <f t="shared" si="6"/>
        <v>CNSHA</v>
      </c>
      <c r="D205" s="1" t="str">
        <f t="shared" si="7"/>
        <v>RUNVS</v>
      </c>
      <c r="E205" s="1" t="str">
        <f>"https://www.hangyun365.com/Shipping?pol_code="&amp;Port_Optimization_365[[#This Row],[POL CODE]]&amp;"&amp;pod_code="&amp;Port_Optimization_365[[#This Row],[POD CODE]]</f>
        <v>https://www.hangyun365.com/Shipping?pol_code=CNSHA&amp;pod_code=RUNVS</v>
      </c>
    </row>
    <row r="206" spans="1:5" x14ac:dyDescent="0.3">
      <c r="A206" s="1" t="s">
        <v>1483</v>
      </c>
      <c r="B206" s="1" t="s">
        <v>1402</v>
      </c>
      <c r="C206" s="1" t="str">
        <f t="shared" si="6"/>
        <v>CNSHA</v>
      </c>
      <c r="D206" s="1" t="str">
        <f t="shared" si="7"/>
        <v>INNSA</v>
      </c>
      <c r="E206" s="1" t="str">
        <f>"https://www.hangyun365.com/Shipping?pol_code="&amp;Port_Optimization_365[[#This Row],[POL CODE]]&amp;"&amp;pod_code="&amp;Port_Optimization_365[[#This Row],[POD CODE]]</f>
        <v>https://www.hangyun365.com/Shipping?pol_code=CNSHA&amp;pod_code=INNSA</v>
      </c>
    </row>
    <row r="207" spans="1:5" x14ac:dyDescent="0.3">
      <c r="A207" s="1" t="s">
        <v>1483</v>
      </c>
      <c r="B207" s="1" t="s">
        <v>1450</v>
      </c>
      <c r="C207" s="1" t="str">
        <f t="shared" si="6"/>
        <v>CNSHA</v>
      </c>
      <c r="D207" s="1" t="str">
        <f t="shared" si="7"/>
        <v>INMAA</v>
      </c>
      <c r="E207" s="1" t="str">
        <f>"https://www.hangyun365.com/Shipping?pol_code="&amp;Port_Optimization_365[[#This Row],[POL CODE]]&amp;"&amp;pod_code="&amp;Port_Optimization_365[[#This Row],[POD CODE]]</f>
        <v>https://www.hangyun365.com/Shipping?pol_code=CNSHA&amp;pod_code=INMAA</v>
      </c>
    </row>
    <row r="208" spans="1:5" x14ac:dyDescent="0.3">
      <c r="A208" s="1" t="s">
        <v>1483</v>
      </c>
      <c r="B208" s="1" t="s">
        <v>1451</v>
      </c>
      <c r="C208" s="1" t="str">
        <f t="shared" si="6"/>
        <v>CNSHA</v>
      </c>
      <c r="D208" s="1" t="str">
        <f t="shared" si="7"/>
        <v>INMUN</v>
      </c>
      <c r="E208" s="1" t="str">
        <f>"https://www.hangyun365.com/Shipping?pol_code="&amp;Port_Optimization_365[[#This Row],[POL CODE]]&amp;"&amp;pod_code="&amp;Port_Optimization_365[[#This Row],[POD CODE]]</f>
        <v>https://www.hangyun365.com/Shipping?pol_code=CNSHA&amp;pod_code=INMUN</v>
      </c>
    </row>
    <row r="209" spans="1:5" x14ac:dyDescent="0.3">
      <c r="A209" s="1" t="s">
        <v>1483</v>
      </c>
      <c r="B209" s="1" t="s">
        <v>1452</v>
      </c>
      <c r="C209" s="1" t="str">
        <f t="shared" si="6"/>
        <v>CNSHA</v>
      </c>
      <c r="D209" s="1" t="str">
        <f t="shared" si="7"/>
        <v>PKKHI</v>
      </c>
      <c r="E209" s="1" t="str">
        <f>"https://www.hangyun365.com/Shipping?pol_code="&amp;Port_Optimization_365[[#This Row],[POL CODE]]&amp;"&amp;pod_code="&amp;Port_Optimization_365[[#This Row],[POD CODE]]</f>
        <v>https://www.hangyun365.com/Shipping?pol_code=CNSHA&amp;pod_code=PKKHI</v>
      </c>
    </row>
    <row r="210" spans="1:5" x14ac:dyDescent="0.3">
      <c r="A210" s="1" t="s">
        <v>1483</v>
      </c>
      <c r="B210" s="1" t="s">
        <v>1453</v>
      </c>
      <c r="C210" s="1" t="str">
        <f t="shared" si="6"/>
        <v>CNSHA</v>
      </c>
      <c r="D210" s="1" t="str">
        <f t="shared" si="7"/>
        <v>INKAT</v>
      </c>
      <c r="E210" s="1" t="str">
        <f>"https://www.hangyun365.com/Shipping?pol_code="&amp;Port_Optimization_365[[#This Row],[POL CODE]]&amp;"&amp;pod_code="&amp;Port_Optimization_365[[#This Row],[POD CODE]]</f>
        <v>https://www.hangyun365.com/Shipping?pol_code=CNSHA&amp;pod_code=INKAT</v>
      </c>
    </row>
    <row r="211" spans="1:5" x14ac:dyDescent="0.3">
      <c r="A211" s="1" t="s">
        <v>1483</v>
      </c>
      <c r="B211" s="1" t="s">
        <v>1454</v>
      </c>
      <c r="C211" s="1" t="str">
        <f t="shared" si="6"/>
        <v>CNSHA</v>
      </c>
      <c r="D211" s="1" t="str">
        <f t="shared" si="7"/>
        <v>LKCMB</v>
      </c>
      <c r="E211" s="1" t="str">
        <f>"https://www.hangyun365.com/Shipping?pol_code="&amp;Port_Optimization_365[[#This Row],[POL CODE]]&amp;"&amp;pod_code="&amp;Port_Optimization_365[[#This Row],[POD CODE]]</f>
        <v>https://www.hangyun365.com/Shipping?pol_code=CNSHA&amp;pod_code=LKCMB</v>
      </c>
    </row>
    <row r="212" spans="1:5" x14ac:dyDescent="0.3">
      <c r="A212" s="1" t="s">
        <v>1483</v>
      </c>
      <c r="B212" s="1" t="s">
        <v>1403</v>
      </c>
      <c r="C212" s="1" t="str">
        <f t="shared" si="6"/>
        <v>CNSHA</v>
      </c>
      <c r="D212" s="1" t="str">
        <f t="shared" si="7"/>
        <v>AEJEA</v>
      </c>
      <c r="E212" s="1" t="str">
        <f>"https://www.hangyun365.com/Shipping?pol_code="&amp;Port_Optimization_365[[#This Row],[POL CODE]]&amp;"&amp;pod_code="&amp;Port_Optimization_365[[#This Row],[POD CODE]]</f>
        <v>https://www.hangyun365.com/Shipping?pol_code=CNSHA&amp;pod_code=AEJEA</v>
      </c>
    </row>
    <row r="213" spans="1:5" x14ac:dyDescent="0.3">
      <c r="A213" s="1" t="s">
        <v>1483</v>
      </c>
      <c r="B213" s="1" t="s">
        <v>1455</v>
      </c>
      <c r="C213" s="1" t="str">
        <f t="shared" si="6"/>
        <v>CNSHA</v>
      </c>
      <c r="D213" s="1" t="str">
        <f t="shared" si="7"/>
        <v>SADMM</v>
      </c>
      <c r="E213" s="1" t="str">
        <f>"https://www.hangyun365.com/Shipping?pol_code="&amp;Port_Optimization_365[[#This Row],[POL CODE]]&amp;"&amp;pod_code="&amp;Port_Optimization_365[[#This Row],[POD CODE]]</f>
        <v>https://www.hangyun365.com/Shipping?pol_code=CNSHA&amp;pod_code=SADMM</v>
      </c>
    </row>
    <row r="214" spans="1:5" x14ac:dyDescent="0.3">
      <c r="A214" s="1" t="s">
        <v>1483</v>
      </c>
      <c r="B214" s="1" t="s">
        <v>1456</v>
      </c>
      <c r="C214" s="1" t="str">
        <f t="shared" si="6"/>
        <v>CNSHA</v>
      </c>
      <c r="D214" s="1" t="str">
        <f t="shared" si="7"/>
        <v>SAJED</v>
      </c>
      <c r="E214" s="1" t="str">
        <f>"https://www.hangyun365.com/Shipping?pol_code="&amp;Port_Optimization_365[[#This Row],[POL CODE]]&amp;"&amp;pod_code="&amp;Port_Optimization_365[[#This Row],[POD CODE]]</f>
        <v>https://www.hangyun365.com/Shipping?pol_code=CNSHA&amp;pod_code=SAJED</v>
      </c>
    </row>
    <row r="215" spans="1:5" x14ac:dyDescent="0.3">
      <c r="A215" s="1" t="s">
        <v>1483</v>
      </c>
      <c r="B215" s="1" t="s">
        <v>1457</v>
      </c>
      <c r="C215" s="1" t="str">
        <f t="shared" si="6"/>
        <v>CNSHA</v>
      </c>
      <c r="D215" s="1" t="str">
        <f t="shared" si="7"/>
        <v>KEMBA</v>
      </c>
      <c r="E215" s="1" t="str">
        <f>"https://www.hangyun365.com/Shipping?pol_code="&amp;Port_Optimization_365[[#This Row],[POL CODE]]&amp;"&amp;pod_code="&amp;Port_Optimization_365[[#This Row],[POD CODE]]</f>
        <v>https://www.hangyun365.com/Shipping?pol_code=CNSHA&amp;pod_code=KEMBA</v>
      </c>
    </row>
    <row r="216" spans="1:5" x14ac:dyDescent="0.3">
      <c r="A216" s="1" t="s">
        <v>1483</v>
      </c>
      <c r="B216" s="1" t="s">
        <v>1484</v>
      </c>
      <c r="C216" s="1" t="str">
        <f t="shared" si="6"/>
        <v>CNSHA</v>
      </c>
      <c r="D216" s="1" t="str">
        <f t="shared" si="7"/>
        <v>MUPLU</v>
      </c>
      <c r="E216" s="1" t="str">
        <f>"https://www.hangyun365.com/Shipping?pol_code="&amp;Port_Optimization_365[[#This Row],[POL CODE]]&amp;"&amp;pod_code="&amp;Port_Optimization_365[[#This Row],[POD CODE]]</f>
        <v>https://www.hangyun365.com/Shipping?pol_code=CNSHA&amp;pod_code=MUPLU</v>
      </c>
    </row>
    <row r="217" spans="1:5" x14ac:dyDescent="0.3">
      <c r="A217" s="1" t="s">
        <v>1483</v>
      </c>
      <c r="B217" s="1" t="s">
        <v>1459</v>
      </c>
      <c r="C217" s="1" t="str">
        <f t="shared" si="6"/>
        <v>CNSHA</v>
      </c>
      <c r="D217" s="1" t="str">
        <f t="shared" si="7"/>
        <v>TZDAR</v>
      </c>
      <c r="E217" s="1" t="str">
        <f>"https://www.hangyun365.com/Shipping?pol_code="&amp;Port_Optimization_365[[#This Row],[POL CODE]]&amp;"&amp;pod_code="&amp;Port_Optimization_365[[#This Row],[POD CODE]]</f>
        <v>https://www.hangyun365.com/Shipping?pol_code=CNSHA&amp;pod_code=TZDAR</v>
      </c>
    </row>
    <row r="218" spans="1:5" x14ac:dyDescent="0.3">
      <c r="A218" s="1" t="s">
        <v>1483</v>
      </c>
      <c r="B218" s="1" t="s">
        <v>1458</v>
      </c>
      <c r="C218" s="1" t="str">
        <f t="shared" si="6"/>
        <v>CNSHA</v>
      </c>
      <c r="D218" s="1" t="str">
        <f t="shared" si="7"/>
        <v>ZADUR</v>
      </c>
      <c r="E218" s="1" t="str">
        <f>"https://www.hangyun365.com/Shipping?pol_code="&amp;Port_Optimization_365[[#This Row],[POL CODE]]&amp;"&amp;pod_code="&amp;Port_Optimization_365[[#This Row],[POD CODE]]</f>
        <v>https://www.hangyun365.com/Shipping?pol_code=CNSHA&amp;pod_code=ZADUR</v>
      </c>
    </row>
    <row r="219" spans="1:5" x14ac:dyDescent="0.3">
      <c r="A219" s="1" t="s">
        <v>1483</v>
      </c>
      <c r="B219" s="1" t="s">
        <v>1461</v>
      </c>
      <c r="C219" s="1" t="str">
        <f t="shared" si="6"/>
        <v>CNSHA</v>
      </c>
      <c r="D219" s="1" t="str">
        <f t="shared" si="7"/>
        <v>GHTEM</v>
      </c>
      <c r="E219" s="1" t="str">
        <f>"https://www.hangyun365.com/Shipping?pol_code="&amp;Port_Optimization_365[[#This Row],[POL CODE]]&amp;"&amp;pod_code="&amp;Port_Optimization_365[[#This Row],[POD CODE]]</f>
        <v>https://www.hangyun365.com/Shipping?pol_code=CNSHA&amp;pod_code=GHTEM</v>
      </c>
    </row>
    <row r="220" spans="1:5" x14ac:dyDescent="0.3">
      <c r="A220" s="1" t="s">
        <v>1483</v>
      </c>
      <c r="B220" s="1" t="s">
        <v>1460</v>
      </c>
      <c r="C220" s="1" t="str">
        <f t="shared" si="6"/>
        <v>CNSHA</v>
      </c>
      <c r="D220" s="1" t="str">
        <f t="shared" si="7"/>
        <v>CGPNR</v>
      </c>
      <c r="E220" s="1" t="str">
        <f>"https://www.hangyun365.com/Shipping?pol_code="&amp;Port_Optimization_365[[#This Row],[POL CODE]]&amp;"&amp;pod_code="&amp;Port_Optimization_365[[#This Row],[POD CODE]]</f>
        <v>https://www.hangyun365.com/Shipping?pol_code=CNSHA&amp;pod_code=CGPNR</v>
      </c>
    </row>
    <row r="221" spans="1:5" x14ac:dyDescent="0.3">
      <c r="A221" s="1" t="s">
        <v>1483</v>
      </c>
      <c r="B221" s="1" t="s">
        <v>1464</v>
      </c>
      <c r="C221" s="1" t="str">
        <f t="shared" si="6"/>
        <v>CNSHA</v>
      </c>
      <c r="D221" s="1" t="str">
        <f t="shared" si="7"/>
        <v>CLSAI</v>
      </c>
      <c r="E221" s="1" t="str">
        <f>"https://www.hangyun365.com/Shipping?pol_code="&amp;Port_Optimization_365[[#This Row],[POL CODE]]&amp;"&amp;pod_code="&amp;Port_Optimization_365[[#This Row],[POD CODE]]</f>
        <v>https://www.hangyun365.com/Shipping?pol_code=CNSHA&amp;pod_code=CLSAI</v>
      </c>
    </row>
    <row r="222" spans="1:5" x14ac:dyDescent="0.3">
      <c r="A222" s="1" t="s">
        <v>1483</v>
      </c>
      <c r="B222" s="1" t="s">
        <v>1463</v>
      </c>
      <c r="C222" s="1" t="str">
        <f t="shared" si="6"/>
        <v>CNSHA</v>
      </c>
      <c r="D222" s="1" t="str">
        <f t="shared" si="7"/>
        <v>COBUN</v>
      </c>
      <c r="E222" s="1" t="str">
        <f>"https://www.hangyun365.com/Shipping?pol_code="&amp;Port_Optimization_365[[#This Row],[POL CODE]]&amp;"&amp;pod_code="&amp;Port_Optimization_365[[#This Row],[POD CODE]]</f>
        <v>https://www.hangyun365.com/Shipping?pol_code=CNSHA&amp;pod_code=COBUN</v>
      </c>
    </row>
    <row r="223" spans="1:5" x14ac:dyDescent="0.3">
      <c r="A223" s="1" t="s">
        <v>1483</v>
      </c>
      <c r="B223" s="1" t="s">
        <v>1465</v>
      </c>
      <c r="C223" s="1" t="str">
        <f t="shared" si="6"/>
        <v>CNSHA</v>
      </c>
      <c r="D223" s="1" t="str">
        <f t="shared" si="7"/>
        <v>BRSSZ</v>
      </c>
      <c r="E223" s="1" t="str">
        <f>"https://www.hangyun365.com/Shipping?pol_code="&amp;Port_Optimization_365[[#This Row],[POL CODE]]&amp;"&amp;pod_code="&amp;Port_Optimization_365[[#This Row],[POD CODE]]</f>
        <v>https://www.hangyun365.com/Shipping?pol_code=CNSHA&amp;pod_code=BRSSZ</v>
      </c>
    </row>
    <row r="224" spans="1:5" x14ac:dyDescent="0.3">
      <c r="A224" s="1" t="s">
        <v>1483</v>
      </c>
      <c r="B224" s="1" t="s">
        <v>1466</v>
      </c>
      <c r="C224" s="1" t="str">
        <f t="shared" si="6"/>
        <v>CNSHA</v>
      </c>
      <c r="D224" s="1" t="str">
        <f t="shared" si="7"/>
        <v>PABLB</v>
      </c>
      <c r="E224" s="1" t="str">
        <f>"https://www.hangyun365.com/Shipping?pol_code="&amp;Port_Optimization_365[[#This Row],[POL CODE]]&amp;"&amp;pod_code="&amp;Port_Optimization_365[[#This Row],[POD CODE]]</f>
        <v>https://www.hangyun365.com/Shipping?pol_code=CNSHA&amp;pod_code=PABLB</v>
      </c>
    </row>
    <row r="225" spans="1:5" x14ac:dyDescent="0.3">
      <c r="A225" s="1" t="s">
        <v>1483</v>
      </c>
      <c r="B225" s="1" t="s">
        <v>1467</v>
      </c>
      <c r="C225" s="1" t="str">
        <f t="shared" si="6"/>
        <v>CNSHA</v>
      </c>
      <c r="D225" s="1" t="str">
        <f t="shared" si="7"/>
        <v>AUBNE</v>
      </c>
      <c r="E225" s="1" t="str">
        <f>"https://www.hangyun365.com/Shipping?pol_code="&amp;Port_Optimization_365[[#This Row],[POL CODE]]&amp;"&amp;pod_code="&amp;Port_Optimization_365[[#This Row],[POD CODE]]</f>
        <v>https://www.hangyun365.com/Shipping?pol_code=CNSHA&amp;pod_code=AUBNE</v>
      </c>
    </row>
    <row r="226" spans="1:5" x14ac:dyDescent="0.3">
      <c r="A226" s="1" t="s">
        <v>1483</v>
      </c>
      <c r="B226" s="1" t="s">
        <v>1485</v>
      </c>
      <c r="C226" s="1" t="str">
        <f t="shared" si="6"/>
        <v>CNSHA</v>
      </c>
      <c r="D226" s="1" t="str">
        <f t="shared" si="7"/>
        <v>AUTSV</v>
      </c>
      <c r="E226" s="1" t="str">
        <f>"https://www.hangyun365.com/Shipping?pol_code="&amp;Port_Optimization_365[[#This Row],[POL CODE]]&amp;"&amp;pod_code="&amp;Port_Optimization_365[[#This Row],[POD CODE]]</f>
        <v>https://www.hangyun365.com/Shipping?pol_code=CNSHA&amp;pod_code=AUTSV</v>
      </c>
    </row>
    <row r="227" spans="1:5" x14ac:dyDescent="0.3">
      <c r="A227" s="1" t="s">
        <v>1483</v>
      </c>
      <c r="B227" s="1" t="s">
        <v>1486</v>
      </c>
      <c r="C227" s="1" t="str">
        <f t="shared" si="6"/>
        <v>CNSHA</v>
      </c>
      <c r="D227" s="1" t="str">
        <f t="shared" si="7"/>
        <v>AUMEL</v>
      </c>
      <c r="E227" s="1" t="str">
        <f>"https://www.hangyun365.com/Shipping?pol_code="&amp;Port_Optimization_365[[#This Row],[POL CODE]]&amp;"&amp;pod_code="&amp;Port_Optimization_365[[#This Row],[POD CODE]]</f>
        <v>https://www.hangyun365.com/Shipping?pol_code=CNSHA&amp;pod_code=AUMEL</v>
      </c>
    </row>
    <row r="228" spans="1:5" x14ac:dyDescent="0.3">
      <c r="A228" s="1" t="s">
        <v>1483</v>
      </c>
      <c r="B228" s="1" t="s">
        <v>1469</v>
      </c>
      <c r="C228" s="1" t="str">
        <f t="shared" si="6"/>
        <v>CNSHA</v>
      </c>
      <c r="D228" s="1" t="str">
        <f t="shared" si="7"/>
        <v>NZAKL</v>
      </c>
      <c r="E228" s="1" t="str">
        <f>"https://www.hangyun365.com/Shipping?pol_code="&amp;Port_Optimization_365[[#This Row],[POL CODE]]&amp;"&amp;pod_code="&amp;Port_Optimization_365[[#This Row],[POD CODE]]</f>
        <v>https://www.hangyun365.com/Shipping?pol_code=CNSHA&amp;pod_code=NZAKL</v>
      </c>
    </row>
    <row r="229" spans="1:5" x14ac:dyDescent="0.3">
      <c r="A229" s="1" t="s">
        <v>1483</v>
      </c>
      <c r="B229" s="1" t="s">
        <v>1404</v>
      </c>
      <c r="C229" s="1" t="str">
        <f t="shared" si="6"/>
        <v>CNSHA</v>
      </c>
      <c r="D229" s="1" t="str">
        <f t="shared" si="7"/>
        <v>VNSGN</v>
      </c>
      <c r="E229" s="1" t="str">
        <f>"https://www.hangyun365.com/Shipping?pol_code="&amp;Port_Optimization_365[[#This Row],[POL CODE]]&amp;"&amp;pod_code="&amp;Port_Optimization_365[[#This Row],[POD CODE]]</f>
        <v>https://www.hangyun365.com/Shipping?pol_code=CNSHA&amp;pod_code=VNSGN</v>
      </c>
    </row>
    <row r="230" spans="1:5" x14ac:dyDescent="0.3">
      <c r="A230" s="1" t="s">
        <v>1483</v>
      </c>
      <c r="B230" s="1" t="s">
        <v>1407</v>
      </c>
      <c r="C230" s="1" t="str">
        <f t="shared" si="6"/>
        <v>CNSHA</v>
      </c>
      <c r="D230" s="1" t="str">
        <f t="shared" si="7"/>
        <v>VNHPH</v>
      </c>
      <c r="E230" s="1" t="str">
        <f>"https://www.hangyun365.com/Shipping?pol_code="&amp;Port_Optimization_365[[#This Row],[POL CODE]]&amp;"&amp;pod_code="&amp;Port_Optimization_365[[#This Row],[POD CODE]]</f>
        <v>https://www.hangyun365.com/Shipping?pol_code=CNSHA&amp;pod_code=VNHPH</v>
      </c>
    </row>
    <row r="231" spans="1:5" x14ac:dyDescent="0.3">
      <c r="A231" s="1" t="s">
        <v>1483</v>
      </c>
      <c r="B231" s="1" t="s">
        <v>1405</v>
      </c>
      <c r="C231" s="1" t="str">
        <f t="shared" si="6"/>
        <v>CNSHA</v>
      </c>
      <c r="D231" s="1" t="str">
        <f t="shared" si="7"/>
        <v>PHMNL</v>
      </c>
      <c r="E231" s="1" t="str">
        <f>"https://www.hangyun365.com/Shipping?pol_code="&amp;Port_Optimization_365[[#This Row],[POL CODE]]&amp;"&amp;pod_code="&amp;Port_Optimization_365[[#This Row],[POD CODE]]</f>
        <v>https://www.hangyun365.com/Shipping?pol_code=CNSHA&amp;pod_code=PHMNL</v>
      </c>
    </row>
    <row r="232" spans="1:5" x14ac:dyDescent="0.3">
      <c r="A232" s="1" t="s">
        <v>1483</v>
      </c>
      <c r="B232" s="1" t="s">
        <v>1408</v>
      </c>
      <c r="C232" s="1" t="str">
        <f t="shared" si="6"/>
        <v>CNSHA</v>
      </c>
      <c r="D232" s="1" t="str">
        <f t="shared" si="7"/>
        <v>THLCH</v>
      </c>
      <c r="E232" s="1" t="str">
        <f>"https://www.hangyun365.com/Shipping?pol_code="&amp;Port_Optimization_365[[#This Row],[POL CODE]]&amp;"&amp;pod_code="&amp;Port_Optimization_365[[#This Row],[POD CODE]]</f>
        <v>https://www.hangyun365.com/Shipping?pol_code=CNSHA&amp;pod_code=THLCH</v>
      </c>
    </row>
    <row r="233" spans="1:5" x14ac:dyDescent="0.3">
      <c r="A233" s="1" t="s">
        <v>1483</v>
      </c>
      <c r="B233" s="1" t="s">
        <v>1470</v>
      </c>
      <c r="C233" s="1" t="str">
        <f t="shared" si="6"/>
        <v>CNSHA</v>
      </c>
      <c r="D233" s="1" t="str">
        <f t="shared" si="7"/>
        <v>MYPEN</v>
      </c>
      <c r="E233" s="1" t="str">
        <f>"https://www.hangyun365.com/Shipping?pol_code="&amp;Port_Optimization_365[[#This Row],[POL CODE]]&amp;"&amp;pod_code="&amp;Port_Optimization_365[[#This Row],[POD CODE]]</f>
        <v>https://www.hangyun365.com/Shipping?pol_code=CNSHA&amp;pod_code=MYPEN</v>
      </c>
    </row>
    <row r="234" spans="1:5" x14ac:dyDescent="0.3">
      <c r="A234" s="1" t="s">
        <v>1483</v>
      </c>
      <c r="B234" s="1" t="s">
        <v>1406</v>
      </c>
      <c r="C234" s="1" t="str">
        <f t="shared" si="6"/>
        <v>CNSHA</v>
      </c>
      <c r="D234" s="1" t="str">
        <f t="shared" si="7"/>
        <v>IDJKT</v>
      </c>
      <c r="E234" s="1" t="str">
        <f>"https://www.hangyun365.com/Shipping?pol_code="&amp;Port_Optimization_365[[#This Row],[POL CODE]]&amp;"&amp;pod_code="&amp;Port_Optimization_365[[#This Row],[POD CODE]]</f>
        <v>https://www.hangyun365.com/Shipping?pol_code=CNSHA&amp;pod_code=IDJKT</v>
      </c>
    </row>
    <row r="235" spans="1:5" x14ac:dyDescent="0.3">
      <c r="A235" s="1" t="s">
        <v>1483</v>
      </c>
      <c r="B235" s="1" t="s">
        <v>1409</v>
      </c>
      <c r="C235" s="1" t="str">
        <f t="shared" si="6"/>
        <v>CNSHA</v>
      </c>
      <c r="D235" s="1" t="str">
        <f t="shared" si="7"/>
        <v>MYTPP</v>
      </c>
      <c r="E235" s="1" t="str">
        <f>"https://www.hangyun365.com/Shipping?pol_code="&amp;Port_Optimization_365[[#This Row],[POL CODE]]&amp;"&amp;pod_code="&amp;Port_Optimization_365[[#This Row],[POD CODE]]</f>
        <v>https://www.hangyun365.com/Shipping?pol_code=CNSHA&amp;pod_code=MYTPP</v>
      </c>
    </row>
    <row r="236" spans="1:5" x14ac:dyDescent="0.3">
      <c r="A236" s="1" t="s">
        <v>1483</v>
      </c>
      <c r="B236" s="1" t="s">
        <v>1414</v>
      </c>
      <c r="C236" s="1" t="str">
        <f t="shared" si="6"/>
        <v>CNSHA</v>
      </c>
      <c r="D236" s="1" t="str">
        <f t="shared" si="7"/>
        <v>MYPGU</v>
      </c>
      <c r="E236" s="1" t="str">
        <f>"https://www.hangyun365.com/Shipping?pol_code="&amp;Port_Optimization_365[[#This Row],[POL CODE]]&amp;"&amp;pod_code="&amp;Port_Optimization_365[[#This Row],[POD CODE]]</f>
        <v>https://www.hangyun365.com/Shipping?pol_code=CNSHA&amp;pod_code=MYPGU</v>
      </c>
    </row>
    <row r="237" spans="1:5" x14ac:dyDescent="0.3">
      <c r="A237" s="1" t="s">
        <v>1483</v>
      </c>
      <c r="B237" s="1" t="s">
        <v>1487</v>
      </c>
      <c r="C237" s="1" t="str">
        <f t="shared" si="6"/>
        <v>CNSHA</v>
      </c>
      <c r="D237" s="1" t="str">
        <f t="shared" si="7"/>
        <v>IDBTM</v>
      </c>
      <c r="E237" s="1" t="str">
        <f>"https://www.hangyun365.com/Shipping?pol_code="&amp;Port_Optimization_365[[#This Row],[POL CODE]]&amp;"&amp;pod_code="&amp;Port_Optimization_365[[#This Row],[POD CODE]]</f>
        <v>https://www.hangyun365.com/Shipping?pol_code=CNSHA&amp;pod_code=IDBTM</v>
      </c>
    </row>
    <row r="238" spans="1:5" x14ac:dyDescent="0.3">
      <c r="A238" s="1" t="s">
        <v>1483</v>
      </c>
      <c r="B238" s="1" t="s">
        <v>1488</v>
      </c>
      <c r="C238" s="1" t="str">
        <f t="shared" si="6"/>
        <v>CNSHA</v>
      </c>
      <c r="D238" s="1" t="str">
        <f t="shared" si="7"/>
        <v>PHCGY</v>
      </c>
      <c r="E238" s="1" t="str">
        <f>"https://www.hangyun365.com/Shipping?pol_code="&amp;Port_Optimization_365[[#This Row],[POL CODE]]&amp;"&amp;pod_code="&amp;Port_Optimization_365[[#This Row],[POD CODE]]</f>
        <v>https://www.hangyun365.com/Shipping?pol_code=CNSHA&amp;pod_code=PHCGY</v>
      </c>
    </row>
    <row r="239" spans="1:5" x14ac:dyDescent="0.3">
      <c r="A239" s="1" t="s">
        <v>1483</v>
      </c>
      <c r="B239" s="1" t="s">
        <v>1489</v>
      </c>
      <c r="C239" s="1" t="str">
        <f t="shared" si="6"/>
        <v>CNSHA</v>
      </c>
      <c r="D239" s="1" t="str">
        <f t="shared" si="7"/>
        <v>VNC8Q</v>
      </c>
      <c r="E239" s="1" t="str">
        <f>"https://www.hangyun365.com/Shipping?pol_code="&amp;Port_Optimization_365[[#This Row],[POL CODE]]&amp;"&amp;pod_code="&amp;Port_Optimization_365[[#This Row],[POD CODE]]</f>
        <v>https://www.hangyun365.com/Shipping?pol_code=CNSHA&amp;pod_code=VNC8Q</v>
      </c>
    </row>
    <row r="240" spans="1:5" x14ac:dyDescent="0.3">
      <c r="A240" s="1" t="s">
        <v>1483</v>
      </c>
      <c r="B240" s="1" t="s">
        <v>1415</v>
      </c>
      <c r="C240" s="1" t="str">
        <f t="shared" si="6"/>
        <v>CNSHA</v>
      </c>
      <c r="D240" s="1" t="str">
        <f t="shared" si="7"/>
        <v>MYPKG</v>
      </c>
      <c r="E240" s="1" t="str">
        <f>"https://www.hangyun365.com/Shipping?pol_code="&amp;Port_Optimization_365[[#This Row],[POL CODE]]&amp;"&amp;pod_code="&amp;Port_Optimization_365[[#This Row],[POD CODE]]</f>
        <v>https://www.hangyun365.com/Shipping?pol_code=CNSHA&amp;pod_code=MYPKG</v>
      </c>
    </row>
    <row r="241" spans="1:5" x14ac:dyDescent="0.3">
      <c r="A241" s="1" t="s">
        <v>1483</v>
      </c>
      <c r="B241" s="1" t="s">
        <v>1471</v>
      </c>
      <c r="C241" s="1" t="str">
        <f t="shared" si="6"/>
        <v>CNSHA</v>
      </c>
      <c r="D241" s="1" t="str">
        <f t="shared" si="7"/>
        <v>BDCGP</v>
      </c>
      <c r="E241" s="1" t="str">
        <f>"https://www.hangyun365.com/Shipping?pol_code="&amp;Port_Optimization_365[[#This Row],[POL CODE]]&amp;"&amp;pod_code="&amp;Port_Optimization_365[[#This Row],[POD CODE]]</f>
        <v>https://www.hangyun365.com/Shipping?pol_code=CNSHA&amp;pod_code=BDCGP</v>
      </c>
    </row>
    <row r="242" spans="1:5" x14ac:dyDescent="0.3">
      <c r="A242" s="1" t="s">
        <v>1483</v>
      </c>
      <c r="B242" s="1" t="s">
        <v>1428</v>
      </c>
      <c r="C242" s="1" t="str">
        <f t="shared" si="6"/>
        <v>CNSHA</v>
      </c>
      <c r="D242" s="1" t="str">
        <f t="shared" si="7"/>
        <v>RUVYP</v>
      </c>
      <c r="E242" s="1" t="str">
        <f>"https://www.hangyun365.com/Shipping?pol_code="&amp;Port_Optimization_365[[#This Row],[POL CODE]]&amp;"&amp;pod_code="&amp;Port_Optimization_365[[#This Row],[POD CODE]]</f>
        <v>https://www.hangyun365.com/Shipping?pol_code=CNSHA&amp;pod_code=RUVYP</v>
      </c>
    </row>
    <row r="243" spans="1:5" x14ac:dyDescent="0.3">
      <c r="A243" s="1" t="s">
        <v>1483</v>
      </c>
      <c r="B243" s="1" t="s">
        <v>1412</v>
      </c>
      <c r="C243" s="1" t="str">
        <f t="shared" si="6"/>
        <v>CNSHA</v>
      </c>
      <c r="D243" s="1" t="str">
        <f t="shared" si="7"/>
        <v>KHKOS</v>
      </c>
      <c r="E243" s="1" t="str">
        <f>"https://www.hangyun365.com/Shipping?pol_code="&amp;Port_Optimization_365[[#This Row],[POL CODE]]&amp;"&amp;pod_code="&amp;Port_Optimization_365[[#This Row],[POD CODE]]</f>
        <v>https://www.hangyun365.com/Shipping?pol_code=CNSHA&amp;pod_code=KHKOS</v>
      </c>
    </row>
    <row r="244" spans="1:5" x14ac:dyDescent="0.3">
      <c r="A244" s="1" t="s">
        <v>1483</v>
      </c>
      <c r="B244" s="1" t="s">
        <v>1413</v>
      </c>
      <c r="C244" s="1" t="str">
        <f t="shared" si="6"/>
        <v>CNSHA</v>
      </c>
      <c r="D244" s="1" t="str">
        <f t="shared" si="7"/>
        <v>PHDVO</v>
      </c>
      <c r="E244" s="1" t="str">
        <f>"https://www.hangyun365.com/Shipping?pol_code="&amp;Port_Optimization_365[[#This Row],[POL CODE]]&amp;"&amp;pod_code="&amp;Port_Optimization_365[[#This Row],[POD CODE]]</f>
        <v>https://www.hangyun365.com/Shipping?pol_code=CNSHA&amp;pod_code=PHDVO</v>
      </c>
    </row>
    <row r="245" spans="1:5" x14ac:dyDescent="0.3">
      <c r="A245" s="1" t="s">
        <v>1483</v>
      </c>
      <c r="B245" s="1" t="s">
        <v>1411</v>
      </c>
      <c r="C245" s="1" t="str">
        <f t="shared" si="6"/>
        <v>CNSHA</v>
      </c>
      <c r="D245" s="1" t="str">
        <f t="shared" si="7"/>
        <v>SGSIN</v>
      </c>
      <c r="E245" s="1" t="str">
        <f>"https://www.hangyun365.com/Shipping?pol_code="&amp;Port_Optimization_365[[#This Row],[POL CODE]]&amp;"&amp;pod_code="&amp;Port_Optimization_365[[#This Row],[POD CODE]]</f>
        <v>https://www.hangyun365.com/Shipping?pol_code=CNSHA&amp;pod_code=SGSIN</v>
      </c>
    </row>
    <row r="246" spans="1:5" x14ac:dyDescent="0.3">
      <c r="A246" s="1" t="s">
        <v>1483</v>
      </c>
      <c r="B246" s="1" t="s">
        <v>1410</v>
      </c>
      <c r="C246" s="1" t="str">
        <f t="shared" si="6"/>
        <v>CNSHA</v>
      </c>
      <c r="D246" s="1" t="str">
        <f t="shared" si="7"/>
        <v>IDSUB</v>
      </c>
      <c r="E246" s="1" t="str">
        <f>"https://www.hangyun365.com/Shipping?pol_code="&amp;Port_Optimization_365[[#This Row],[POL CODE]]&amp;"&amp;pod_code="&amp;Port_Optimization_365[[#This Row],[POD CODE]]</f>
        <v>https://www.hangyun365.com/Shipping?pol_code=CNSHA&amp;pod_code=IDSUB</v>
      </c>
    </row>
    <row r="247" spans="1:5" x14ac:dyDescent="0.3">
      <c r="A247" s="1" t="s">
        <v>1483</v>
      </c>
      <c r="B247" s="1" t="s">
        <v>1472</v>
      </c>
      <c r="C247" s="1" t="str">
        <f t="shared" si="6"/>
        <v>CNSHA</v>
      </c>
      <c r="D247" s="1" t="str">
        <f t="shared" si="7"/>
        <v>MMRGN</v>
      </c>
      <c r="E247" s="1" t="str">
        <f>"https://www.hangyun365.com/Shipping?pol_code="&amp;Port_Optimization_365[[#This Row],[POL CODE]]&amp;"&amp;pod_code="&amp;Port_Optimization_365[[#This Row],[POD CODE]]</f>
        <v>https://www.hangyun365.com/Shipping?pol_code=CNSHA&amp;pod_code=MMRGN</v>
      </c>
    </row>
    <row r="248" spans="1:5" x14ac:dyDescent="0.3">
      <c r="A248" s="1" t="s">
        <v>1483</v>
      </c>
      <c r="B248" s="1" t="s">
        <v>1479</v>
      </c>
      <c r="C248" s="1" t="str">
        <f t="shared" si="6"/>
        <v>CNSHA</v>
      </c>
      <c r="D248" s="1" t="str">
        <f t="shared" si="7"/>
        <v>VNTOT</v>
      </c>
      <c r="E248" s="1" t="str">
        <f>"https://www.hangyun365.com/Shipping?pol_code="&amp;Port_Optimization_365[[#This Row],[POL CODE]]&amp;"&amp;pod_code="&amp;Port_Optimization_365[[#This Row],[POD CODE]]</f>
        <v>https://www.hangyun365.com/Shipping?pol_code=CNSHA&amp;pod_code=VNTOT</v>
      </c>
    </row>
    <row r="249" spans="1:5" x14ac:dyDescent="0.3">
      <c r="A249" s="1" t="s">
        <v>1483</v>
      </c>
      <c r="B249" s="1" t="s">
        <v>1417</v>
      </c>
      <c r="C249" s="1" t="str">
        <f t="shared" si="6"/>
        <v>CNSHA</v>
      </c>
      <c r="D249" s="1" t="str">
        <f t="shared" si="7"/>
        <v>KRPUS</v>
      </c>
      <c r="E249" s="1" t="str">
        <f>"https://www.hangyun365.com/Shipping?pol_code="&amp;Port_Optimization_365[[#This Row],[POL CODE]]&amp;"&amp;pod_code="&amp;Port_Optimization_365[[#This Row],[POD CODE]]</f>
        <v>https://www.hangyun365.com/Shipping?pol_code=CNSHA&amp;pod_code=KRPUS</v>
      </c>
    </row>
    <row r="250" spans="1:5" x14ac:dyDescent="0.3">
      <c r="A250" s="1" t="s">
        <v>1483</v>
      </c>
      <c r="B250" s="1" t="s">
        <v>1418</v>
      </c>
      <c r="C250" s="1" t="str">
        <f t="shared" si="6"/>
        <v>CNSHA</v>
      </c>
      <c r="D250" s="1" t="str">
        <f t="shared" si="7"/>
        <v>JPYOK</v>
      </c>
      <c r="E250" s="1" t="str">
        <f>"https://www.hangyun365.com/Shipping?pol_code="&amp;Port_Optimization_365[[#This Row],[POL CODE]]&amp;"&amp;pod_code="&amp;Port_Optimization_365[[#This Row],[POD CODE]]</f>
        <v>https://www.hangyun365.com/Shipping?pol_code=CNSHA&amp;pod_code=JPYOK</v>
      </c>
    </row>
    <row r="251" spans="1:5" x14ac:dyDescent="0.3">
      <c r="A251" s="1" t="s">
        <v>1483</v>
      </c>
      <c r="B251" s="1" t="s">
        <v>1473</v>
      </c>
      <c r="C251" s="1" t="str">
        <f t="shared" si="6"/>
        <v>CNSHA</v>
      </c>
      <c r="D251" s="1" t="str">
        <f t="shared" si="7"/>
        <v>TWTXG</v>
      </c>
      <c r="E251" s="1" t="str">
        <f>"https://www.hangyun365.com/Shipping?pol_code="&amp;Port_Optimization_365[[#This Row],[POL CODE]]&amp;"&amp;pod_code="&amp;Port_Optimization_365[[#This Row],[POD CODE]]</f>
        <v>https://www.hangyun365.com/Shipping?pol_code=CNSHA&amp;pod_code=TWTXG</v>
      </c>
    </row>
    <row r="252" spans="1:5" x14ac:dyDescent="0.3">
      <c r="A252" s="1" t="s">
        <v>1483</v>
      </c>
      <c r="B252" s="1" t="s">
        <v>1433</v>
      </c>
      <c r="C252" s="1" t="str">
        <f t="shared" si="6"/>
        <v>CNSHA</v>
      </c>
      <c r="D252" s="1" t="str">
        <f t="shared" si="7"/>
        <v>KRINC</v>
      </c>
      <c r="E252" s="1" t="str">
        <f>"https://www.hangyun365.com/Shipping?pol_code="&amp;Port_Optimization_365[[#This Row],[POL CODE]]&amp;"&amp;pod_code="&amp;Port_Optimization_365[[#This Row],[POD CODE]]</f>
        <v>https://www.hangyun365.com/Shipping?pol_code=CNSHA&amp;pod_code=KRINC</v>
      </c>
    </row>
    <row r="253" spans="1:5" x14ac:dyDescent="0.3">
      <c r="A253" s="1" t="s">
        <v>1483</v>
      </c>
      <c r="B253" s="1" t="s">
        <v>1424</v>
      </c>
      <c r="C253" s="1" t="str">
        <f t="shared" si="6"/>
        <v>CNSHA</v>
      </c>
      <c r="D253" s="1" t="str">
        <f t="shared" si="7"/>
        <v>RUVVO</v>
      </c>
      <c r="E253" s="1" t="str">
        <f>"https://www.hangyun365.com/Shipping?pol_code="&amp;Port_Optimization_365[[#This Row],[POL CODE]]&amp;"&amp;pod_code="&amp;Port_Optimization_365[[#This Row],[POD CODE]]</f>
        <v>https://www.hangyun365.com/Shipping?pol_code=CNSHA&amp;pod_code=RUVVO</v>
      </c>
    </row>
    <row r="254" spans="1:5" x14ac:dyDescent="0.3">
      <c r="A254" s="1" t="s">
        <v>1483</v>
      </c>
      <c r="B254" s="1" t="s">
        <v>1419</v>
      </c>
      <c r="C254" s="1" t="str">
        <f t="shared" si="6"/>
        <v>CNSHA</v>
      </c>
      <c r="D254" s="1" t="str">
        <f t="shared" si="7"/>
        <v>JPHTD</v>
      </c>
      <c r="E254" s="1" t="str">
        <f>"https://www.hangyun365.com/Shipping?pol_code="&amp;Port_Optimization_365[[#This Row],[POL CODE]]&amp;"&amp;pod_code="&amp;Port_Optimization_365[[#This Row],[POD CODE]]</f>
        <v>https://www.hangyun365.com/Shipping?pol_code=CNSHA&amp;pod_code=JPHTD</v>
      </c>
    </row>
    <row r="255" spans="1:5" x14ac:dyDescent="0.3">
      <c r="A255" s="1" t="s">
        <v>1483</v>
      </c>
      <c r="B255" s="1" t="s">
        <v>1474</v>
      </c>
      <c r="C255" s="1" t="str">
        <f t="shared" si="6"/>
        <v>CNSHA</v>
      </c>
      <c r="D255" s="1" t="str">
        <f t="shared" si="7"/>
        <v>JPNGO</v>
      </c>
      <c r="E255" s="1" t="str">
        <f>"https://www.hangyun365.com/Shipping?pol_code="&amp;Port_Optimization_365[[#This Row],[POL CODE]]&amp;"&amp;pod_code="&amp;Port_Optimization_365[[#This Row],[POD CODE]]</f>
        <v>https://www.hangyun365.com/Shipping?pol_code=CNSHA&amp;pod_code=JPNGO</v>
      </c>
    </row>
    <row r="256" spans="1:5" x14ac:dyDescent="0.3">
      <c r="A256" s="1" t="s">
        <v>1483</v>
      </c>
      <c r="B256" s="1" t="s">
        <v>1426</v>
      </c>
      <c r="C256" s="1" t="str">
        <f t="shared" si="6"/>
        <v>CNSHA</v>
      </c>
      <c r="D256" s="1" t="str">
        <f t="shared" si="7"/>
        <v>JPOSA</v>
      </c>
      <c r="E256" s="1" t="str">
        <f>"https://www.hangyun365.com/Shipping?pol_code="&amp;Port_Optimization_365[[#This Row],[POL CODE]]&amp;"&amp;pod_code="&amp;Port_Optimization_365[[#This Row],[POD CODE]]</f>
        <v>https://www.hangyun365.com/Shipping?pol_code=CNSHA&amp;pod_code=JPOSA</v>
      </c>
    </row>
    <row r="257" spans="1:5" x14ac:dyDescent="0.3">
      <c r="A257" s="1" t="s">
        <v>1483</v>
      </c>
      <c r="B257" s="1" t="s">
        <v>1490</v>
      </c>
      <c r="C257" s="1" t="str">
        <f t="shared" si="6"/>
        <v>CNSHA</v>
      </c>
      <c r="D257" s="1" t="str">
        <f t="shared" si="7"/>
        <v>JPFKY</v>
      </c>
      <c r="E257" s="1" t="str">
        <f>"https://www.hangyun365.com/Shipping?pol_code="&amp;Port_Optimization_365[[#This Row],[POL CODE]]&amp;"&amp;pod_code="&amp;Port_Optimization_365[[#This Row],[POD CODE]]</f>
        <v>https://www.hangyun365.com/Shipping?pol_code=CNSHA&amp;pod_code=JPFKY</v>
      </c>
    </row>
    <row r="258" spans="1:5" x14ac:dyDescent="0.3">
      <c r="A258" s="1" t="s">
        <v>1483</v>
      </c>
      <c r="B258" s="1" t="s">
        <v>1427</v>
      </c>
      <c r="C258" s="1" t="str">
        <f t="shared" ref="C258:C320" si="8">_xlfn.TEXTBEFORE(_xlfn.TEXTAFTER(A258,"|"),"|")</f>
        <v>CNSHA</v>
      </c>
      <c r="D258" s="1" t="str">
        <f t="shared" ref="D258:D320" si="9">_xlfn.TEXTBEFORE(_xlfn.TEXTAFTER(B258,"|"),"|")</f>
        <v>KRPTK</v>
      </c>
      <c r="E258" s="1" t="str">
        <f>"https://www.hangyun365.com/Shipping?pol_code="&amp;Port_Optimization_365[[#This Row],[POL CODE]]&amp;"&amp;pod_code="&amp;Port_Optimization_365[[#This Row],[POD CODE]]</f>
        <v>https://www.hangyun365.com/Shipping?pol_code=CNSHA&amp;pod_code=KRPTK</v>
      </c>
    </row>
    <row r="259" spans="1:5" x14ac:dyDescent="0.3">
      <c r="A259" s="1" t="s">
        <v>1483</v>
      </c>
      <c r="B259" s="1" t="s">
        <v>1480</v>
      </c>
      <c r="C259" s="1" t="str">
        <f t="shared" si="8"/>
        <v>CNSHA</v>
      </c>
      <c r="D259" s="1" t="str">
        <f t="shared" si="9"/>
        <v>JPTOY</v>
      </c>
      <c r="E259" s="1" t="str">
        <f>"https://www.hangyun365.com/Shipping?pol_code="&amp;Port_Optimization_365[[#This Row],[POL CODE]]&amp;"&amp;pod_code="&amp;Port_Optimization_365[[#This Row],[POD CODE]]</f>
        <v>https://www.hangyun365.com/Shipping?pol_code=CNSHA&amp;pod_code=JPTOY</v>
      </c>
    </row>
    <row r="260" spans="1:5" x14ac:dyDescent="0.3">
      <c r="A260" s="1" t="s">
        <v>1491</v>
      </c>
      <c r="B260" s="1" t="s">
        <v>1444</v>
      </c>
      <c r="C260" s="1" t="str">
        <f t="shared" si="8"/>
        <v>CNTAC</v>
      </c>
      <c r="D260" s="1" t="str">
        <f t="shared" si="9"/>
        <v>RULED</v>
      </c>
      <c r="E260" s="1" t="str">
        <f>"https://www.hangyun365.com/Shipping?pol_code="&amp;Port_Optimization_365[[#This Row],[POL CODE]]&amp;"&amp;pod_code="&amp;Port_Optimization_365[[#This Row],[POD CODE]]</f>
        <v>https://www.hangyun365.com/Shipping?pol_code=CNTAC&amp;pod_code=RULED</v>
      </c>
    </row>
    <row r="261" spans="1:5" x14ac:dyDescent="0.3">
      <c r="A261" s="1" t="s">
        <v>1491</v>
      </c>
      <c r="B261" s="1" t="s">
        <v>1401</v>
      </c>
      <c r="C261" s="1" t="str">
        <f t="shared" si="8"/>
        <v>CNTAC</v>
      </c>
      <c r="D261" s="1" t="str">
        <f t="shared" si="9"/>
        <v>TRIST</v>
      </c>
      <c r="E261" s="1" t="str">
        <f>"https://www.hangyun365.com/Shipping?pol_code="&amp;Port_Optimization_365[[#This Row],[POL CODE]]&amp;"&amp;pod_code="&amp;Port_Optimization_365[[#This Row],[POD CODE]]</f>
        <v>https://www.hangyun365.com/Shipping?pol_code=CNTAC&amp;pod_code=TRIST</v>
      </c>
    </row>
    <row r="262" spans="1:5" x14ac:dyDescent="0.3">
      <c r="A262" s="1" t="s">
        <v>1491</v>
      </c>
      <c r="B262" s="1" t="s">
        <v>1450</v>
      </c>
      <c r="C262" s="1" t="str">
        <f t="shared" si="8"/>
        <v>CNTAC</v>
      </c>
      <c r="D262" s="1" t="str">
        <f t="shared" si="9"/>
        <v>INMAA</v>
      </c>
      <c r="E262" s="1" t="str">
        <f>"https://www.hangyun365.com/Shipping?pol_code="&amp;Port_Optimization_365[[#This Row],[POL CODE]]&amp;"&amp;pod_code="&amp;Port_Optimization_365[[#This Row],[POD CODE]]</f>
        <v>https://www.hangyun365.com/Shipping?pol_code=CNTAC&amp;pod_code=INMAA</v>
      </c>
    </row>
    <row r="263" spans="1:5" x14ac:dyDescent="0.3">
      <c r="A263" s="1" t="s">
        <v>1491</v>
      </c>
      <c r="B263" s="1" t="s">
        <v>1402</v>
      </c>
      <c r="C263" s="1" t="str">
        <f t="shared" si="8"/>
        <v>CNTAC</v>
      </c>
      <c r="D263" s="1" t="str">
        <f t="shared" si="9"/>
        <v>INNSA</v>
      </c>
      <c r="E263" s="1" t="str">
        <f>"https://www.hangyun365.com/Shipping?pol_code="&amp;Port_Optimization_365[[#This Row],[POL CODE]]&amp;"&amp;pod_code="&amp;Port_Optimization_365[[#This Row],[POD CODE]]</f>
        <v>https://www.hangyun365.com/Shipping?pol_code=CNTAC&amp;pod_code=INNSA</v>
      </c>
    </row>
    <row r="264" spans="1:5" x14ac:dyDescent="0.3">
      <c r="A264" s="1" t="s">
        <v>1491</v>
      </c>
      <c r="B264" s="1" t="s">
        <v>1458</v>
      </c>
      <c r="C264" s="1" t="str">
        <f t="shared" si="8"/>
        <v>CNTAC</v>
      </c>
      <c r="D264" s="1" t="str">
        <f t="shared" si="9"/>
        <v>ZADUR</v>
      </c>
      <c r="E264" s="1" t="str">
        <f>"https://www.hangyun365.com/Shipping?pol_code="&amp;Port_Optimization_365[[#This Row],[POL CODE]]&amp;"&amp;pod_code="&amp;Port_Optimization_365[[#This Row],[POD CODE]]</f>
        <v>https://www.hangyun365.com/Shipping?pol_code=CNTAC&amp;pod_code=ZADUR</v>
      </c>
    </row>
    <row r="265" spans="1:5" x14ac:dyDescent="0.3">
      <c r="A265" s="1" t="s">
        <v>1491</v>
      </c>
      <c r="B265" s="1" t="s">
        <v>1462</v>
      </c>
      <c r="C265" s="1" t="str">
        <f t="shared" si="8"/>
        <v>CNTAC</v>
      </c>
      <c r="D265" s="1" t="str">
        <f t="shared" si="9"/>
        <v>NGLOS</v>
      </c>
      <c r="E265" s="1" t="str">
        <f>"https://www.hangyun365.com/Shipping?pol_code="&amp;Port_Optimization_365[[#This Row],[POL CODE]]&amp;"&amp;pod_code="&amp;Port_Optimization_365[[#This Row],[POD CODE]]</f>
        <v>https://www.hangyun365.com/Shipping?pol_code=CNTAC&amp;pod_code=NGLOS</v>
      </c>
    </row>
    <row r="266" spans="1:5" x14ac:dyDescent="0.3">
      <c r="A266" s="1" t="s">
        <v>1491</v>
      </c>
      <c r="B266" s="1" t="s">
        <v>1465</v>
      </c>
      <c r="C266" s="1" t="str">
        <f t="shared" si="8"/>
        <v>CNTAC</v>
      </c>
      <c r="D266" s="1" t="str">
        <f t="shared" si="9"/>
        <v>BRSSZ</v>
      </c>
      <c r="E266" s="1" t="str">
        <f>"https://www.hangyun365.com/Shipping?pol_code="&amp;Port_Optimization_365[[#This Row],[POL CODE]]&amp;"&amp;pod_code="&amp;Port_Optimization_365[[#This Row],[POD CODE]]</f>
        <v>https://www.hangyun365.com/Shipping?pol_code=CNTAC&amp;pod_code=BRSSZ</v>
      </c>
    </row>
    <row r="267" spans="1:5" x14ac:dyDescent="0.3">
      <c r="A267" s="1" t="s">
        <v>1491</v>
      </c>
      <c r="B267" s="1" t="s">
        <v>1467</v>
      </c>
      <c r="C267" s="1" t="str">
        <f t="shared" si="8"/>
        <v>CNTAC</v>
      </c>
      <c r="D267" s="1" t="str">
        <f t="shared" si="9"/>
        <v>AUBNE</v>
      </c>
      <c r="E267" s="1" t="str">
        <f>"https://www.hangyun365.com/Shipping?pol_code="&amp;Port_Optimization_365[[#This Row],[POL CODE]]&amp;"&amp;pod_code="&amp;Port_Optimization_365[[#This Row],[POD CODE]]</f>
        <v>https://www.hangyun365.com/Shipping?pol_code=CNTAC&amp;pod_code=AUBNE</v>
      </c>
    </row>
    <row r="268" spans="1:5" x14ac:dyDescent="0.3">
      <c r="A268" s="1" t="s">
        <v>1491</v>
      </c>
      <c r="B268" s="1" t="s">
        <v>1492</v>
      </c>
      <c r="C268" s="1" t="str">
        <f t="shared" si="8"/>
        <v>CNTAC</v>
      </c>
      <c r="D268" s="1" t="str">
        <f t="shared" si="9"/>
        <v>AUPHE</v>
      </c>
      <c r="E268" s="1" t="str">
        <f>"https://www.hangyun365.com/Shipping?pol_code="&amp;Port_Optimization_365[[#This Row],[POL CODE]]&amp;"&amp;pod_code="&amp;Port_Optimization_365[[#This Row],[POD CODE]]</f>
        <v>https://www.hangyun365.com/Shipping?pol_code=CNTAC&amp;pod_code=AUPHE</v>
      </c>
    </row>
    <row r="269" spans="1:5" x14ac:dyDescent="0.3">
      <c r="A269" s="1" t="s">
        <v>1491</v>
      </c>
      <c r="B269" s="1" t="s">
        <v>1407</v>
      </c>
      <c r="C269" s="1" t="str">
        <f t="shared" si="8"/>
        <v>CNTAC</v>
      </c>
      <c r="D269" s="1" t="str">
        <f t="shared" si="9"/>
        <v>VNHPH</v>
      </c>
      <c r="E269" s="1" t="str">
        <f>"https://www.hangyun365.com/Shipping?pol_code="&amp;Port_Optimization_365[[#This Row],[POL CODE]]&amp;"&amp;pod_code="&amp;Port_Optimization_365[[#This Row],[POD CODE]]</f>
        <v>https://www.hangyun365.com/Shipping?pol_code=CNTAC&amp;pod_code=VNHPH</v>
      </c>
    </row>
    <row r="270" spans="1:5" x14ac:dyDescent="0.3">
      <c r="A270" s="1" t="s">
        <v>1491</v>
      </c>
      <c r="B270" s="1" t="s">
        <v>1404</v>
      </c>
      <c r="C270" s="1" t="str">
        <f t="shared" si="8"/>
        <v>CNTAC</v>
      </c>
      <c r="D270" s="1" t="str">
        <f t="shared" si="9"/>
        <v>VNSGN</v>
      </c>
      <c r="E270" s="1" t="str">
        <f>"https://www.hangyun365.com/Shipping?pol_code="&amp;Port_Optimization_365[[#This Row],[POL CODE]]&amp;"&amp;pod_code="&amp;Port_Optimization_365[[#This Row],[POD CODE]]</f>
        <v>https://www.hangyun365.com/Shipping?pol_code=CNTAC&amp;pod_code=VNSGN</v>
      </c>
    </row>
    <row r="271" spans="1:5" x14ac:dyDescent="0.3">
      <c r="A271" s="1" t="s">
        <v>1491</v>
      </c>
      <c r="B271" s="1" t="s">
        <v>1408</v>
      </c>
      <c r="C271" s="1" t="str">
        <f t="shared" si="8"/>
        <v>CNTAC</v>
      </c>
      <c r="D271" s="1" t="str">
        <f t="shared" si="9"/>
        <v>THLCH</v>
      </c>
      <c r="E271" s="1" t="str">
        <f>"https://www.hangyun365.com/Shipping?pol_code="&amp;Port_Optimization_365[[#This Row],[POL CODE]]&amp;"&amp;pod_code="&amp;Port_Optimization_365[[#This Row],[POD CODE]]</f>
        <v>https://www.hangyun365.com/Shipping?pol_code=CNTAC&amp;pod_code=THLCH</v>
      </c>
    </row>
    <row r="272" spans="1:5" x14ac:dyDescent="0.3">
      <c r="A272" s="1" t="s">
        <v>1491</v>
      </c>
      <c r="B272" s="1" t="s">
        <v>1474</v>
      </c>
      <c r="C272" s="1" t="str">
        <f t="shared" si="8"/>
        <v>CNTAC</v>
      </c>
      <c r="D272" s="1" t="str">
        <f t="shared" si="9"/>
        <v>JPNGO</v>
      </c>
      <c r="E272" s="1" t="str">
        <f>"https://www.hangyun365.com/Shipping?pol_code="&amp;Port_Optimization_365[[#This Row],[POL CODE]]&amp;"&amp;pod_code="&amp;Port_Optimization_365[[#This Row],[POD CODE]]</f>
        <v>https://www.hangyun365.com/Shipping?pol_code=CNTAC&amp;pod_code=JPNGO</v>
      </c>
    </row>
    <row r="273" spans="1:5" x14ac:dyDescent="0.3">
      <c r="A273" s="1" t="s">
        <v>1491</v>
      </c>
      <c r="B273" s="1" t="s">
        <v>1419</v>
      </c>
      <c r="C273" s="1" t="str">
        <f t="shared" si="8"/>
        <v>CNTAC</v>
      </c>
      <c r="D273" s="1" t="str">
        <f t="shared" si="9"/>
        <v>JPHTD</v>
      </c>
      <c r="E273" s="1" t="str">
        <f>"https://www.hangyun365.com/Shipping?pol_code="&amp;Port_Optimization_365[[#This Row],[POL CODE]]&amp;"&amp;pod_code="&amp;Port_Optimization_365[[#This Row],[POD CODE]]</f>
        <v>https://www.hangyun365.com/Shipping?pol_code=CNTAC&amp;pod_code=JPHTD</v>
      </c>
    </row>
    <row r="274" spans="1:5" x14ac:dyDescent="0.3">
      <c r="A274" s="1" t="s">
        <v>1491</v>
      </c>
      <c r="B274" s="1" t="s">
        <v>1433</v>
      </c>
      <c r="C274" s="1" t="str">
        <f t="shared" si="8"/>
        <v>CNTAC</v>
      </c>
      <c r="D274" s="1" t="str">
        <f t="shared" si="9"/>
        <v>KRINC</v>
      </c>
      <c r="E274" s="1" t="str">
        <f>"https://www.hangyun365.com/Shipping?pol_code="&amp;Port_Optimization_365[[#This Row],[POL CODE]]&amp;"&amp;pod_code="&amp;Port_Optimization_365[[#This Row],[POD CODE]]</f>
        <v>https://www.hangyun365.com/Shipping?pol_code=CNTAC&amp;pod_code=KRINC</v>
      </c>
    </row>
    <row r="275" spans="1:5" x14ac:dyDescent="0.3">
      <c r="A275" s="1" t="s">
        <v>1491</v>
      </c>
      <c r="B275" s="1" t="s">
        <v>1427</v>
      </c>
      <c r="C275" s="1" t="str">
        <f t="shared" si="8"/>
        <v>CNTAC</v>
      </c>
      <c r="D275" s="1" t="str">
        <f t="shared" si="9"/>
        <v>KRPTK</v>
      </c>
      <c r="E275" s="1" t="str">
        <f>"https://www.hangyun365.com/Shipping?pol_code="&amp;Port_Optimization_365[[#This Row],[POL CODE]]&amp;"&amp;pod_code="&amp;Port_Optimization_365[[#This Row],[POD CODE]]</f>
        <v>https://www.hangyun365.com/Shipping?pol_code=CNTAC&amp;pod_code=KRPTK</v>
      </c>
    </row>
    <row r="276" spans="1:5" x14ac:dyDescent="0.3">
      <c r="A276" s="1" t="s">
        <v>1491</v>
      </c>
      <c r="B276" s="1" t="s">
        <v>1421</v>
      </c>
      <c r="C276" s="1" t="str">
        <f t="shared" si="8"/>
        <v>CNTAC</v>
      </c>
      <c r="D276" s="1" t="str">
        <f t="shared" si="9"/>
        <v>TWKHH</v>
      </c>
      <c r="E276" s="1" t="str">
        <f>"https://www.hangyun365.com/Shipping?pol_code="&amp;Port_Optimization_365[[#This Row],[POL CODE]]&amp;"&amp;pod_code="&amp;Port_Optimization_365[[#This Row],[POD CODE]]</f>
        <v>https://www.hangyun365.com/Shipping?pol_code=CNTAC&amp;pod_code=TWKHH</v>
      </c>
    </row>
    <row r="277" spans="1:5" x14ac:dyDescent="0.3">
      <c r="A277" s="1" t="s">
        <v>1493</v>
      </c>
      <c r="B277" s="1" t="s">
        <v>1436</v>
      </c>
      <c r="C277" s="1" t="str">
        <f t="shared" si="8"/>
        <v>CNTXG</v>
      </c>
      <c r="D277" s="1" t="str">
        <f t="shared" si="9"/>
        <v>USLAX</v>
      </c>
      <c r="E277" s="1" t="str">
        <f>"https://www.hangyun365.com/Shipping?pol_code="&amp;Port_Optimization_365[[#This Row],[POL CODE]]&amp;"&amp;pod_code="&amp;Port_Optimization_365[[#This Row],[POD CODE]]</f>
        <v>https://www.hangyun365.com/Shipping?pol_code=CNTXG&amp;pod_code=USLAX</v>
      </c>
    </row>
    <row r="278" spans="1:5" x14ac:dyDescent="0.3">
      <c r="A278" s="1" t="s">
        <v>1493</v>
      </c>
      <c r="B278" s="1" t="s">
        <v>1435</v>
      </c>
      <c r="C278" s="1" t="str">
        <f t="shared" si="8"/>
        <v>CNTXG</v>
      </c>
      <c r="D278" s="1" t="str">
        <f t="shared" si="9"/>
        <v>USLGB</v>
      </c>
      <c r="E278" s="1" t="str">
        <f>"https://www.hangyun365.com/Shipping?pol_code="&amp;Port_Optimization_365[[#This Row],[POL CODE]]&amp;"&amp;pod_code="&amp;Port_Optimization_365[[#This Row],[POD CODE]]</f>
        <v>https://www.hangyun365.com/Shipping?pol_code=CNTXG&amp;pod_code=USLGB</v>
      </c>
    </row>
    <row r="279" spans="1:5" x14ac:dyDescent="0.3">
      <c r="A279" s="1" t="s">
        <v>1493</v>
      </c>
      <c r="B279" s="1" t="s">
        <v>1441</v>
      </c>
      <c r="C279" s="1" t="str">
        <f t="shared" si="8"/>
        <v>CNTXG</v>
      </c>
      <c r="D279" s="1" t="str">
        <f t="shared" si="9"/>
        <v>USNYC</v>
      </c>
      <c r="E279" s="1" t="str">
        <f>"https://www.hangyun365.com/Shipping?pol_code="&amp;Port_Optimization_365[[#This Row],[POL CODE]]&amp;"&amp;pod_code="&amp;Port_Optimization_365[[#This Row],[POD CODE]]</f>
        <v>https://www.hangyun365.com/Shipping?pol_code=CNTXG&amp;pod_code=USNYC</v>
      </c>
    </row>
    <row r="280" spans="1:5" x14ac:dyDescent="0.3">
      <c r="A280" s="1" t="s">
        <v>1493</v>
      </c>
      <c r="B280" s="1" t="s">
        <v>1442</v>
      </c>
      <c r="C280" s="1" t="str">
        <f t="shared" si="8"/>
        <v>CNTXG</v>
      </c>
      <c r="D280" s="1" t="str">
        <f t="shared" si="9"/>
        <v>CAPRR</v>
      </c>
      <c r="E280" s="1" t="str">
        <f>"https://www.hangyun365.com/Shipping?pol_code="&amp;Port_Optimization_365[[#This Row],[POL CODE]]&amp;"&amp;pod_code="&amp;Port_Optimization_365[[#This Row],[POD CODE]]</f>
        <v>https://www.hangyun365.com/Shipping?pol_code=CNTXG&amp;pod_code=CAPRR</v>
      </c>
    </row>
    <row r="281" spans="1:5" x14ac:dyDescent="0.3">
      <c r="A281" s="1" t="s">
        <v>1493</v>
      </c>
      <c r="B281" s="1" t="s">
        <v>1398</v>
      </c>
      <c r="C281" s="1" t="str">
        <f t="shared" si="8"/>
        <v>CNTXG</v>
      </c>
      <c r="D281" s="1" t="str">
        <f t="shared" si="9"/>
        <v>MXZLO</v>
      </c>
      <c r="E281" s="1" t="str">
        <f>"https://www.hangyun365.com/Shipping?pol_code="&amp;Port_Optimization_365[[#This Row],[POL CODE]]&amp;"&amp;pod_code="&amp;Port_Optimization_365[[#This Row],[POD CODE]]</f>
        <v>https://www.hangyun365.com/Shipping?pol_code=CNTXG&amp;pod_code=MXZLO</v>
      </c>
    </row>
    <row r="282" spans="1:5" x14ac:dyDescent="0.3">
      <c r="A282" s="1" t="s">
        <v>1493</v>
      </c>
      <c r="B282" s="1" t="s">
        <v>1444</v>
      </c>
      <c r="C282" s="1" t="str">
        <f t="shared" si="8"/>
        <v>CNTXG</v>
      </c>
      <c r="D282" s="1" t="str">
        <f t="shared" si="9"/>
        <v>RULED</v>
      </c>
      <c r="E282" s="1" t="str">
        <f>"https://www.hangyun365.com/Shipping?pol_code="&amp;Port_Optimization_365[[#This Row],[POL CODE]]&amp;"&amp;pod_code="&amp;Port_Optimization_365[[#This Row],[POD CODE]]</f>
        <v>https://www.hangyun365.com/Shipping?pol_code=CNTXG&amp;pod_code=RULED</v>
      </c>
    </row>
    <row r="283" spans="1:5" x14ac:dyDescent="0.3">
      <c r="A283" s="1" t="s">
        <v>1493</v>
      </c>
      <c r="B283" s="1" t="s">
        <v>1399</v>
      </c>
      <c r="C283" s="1" t="str">
        <f t="shared" si="8"/>
        <v>CNTXG</v>
      </c>
      <c r="D283" s="1" t="str">
        <f t="shared" si="9"/>
        <v>GBFXT</v>
      </c>
      <c r="E283" s="1" t="str">
        <f>"https://www.hangyun365.com/Shipping?pol_code="&amp;Port_Optimization_365[[#This Row],[POL CODE]]&amp;"&amp;pod_code="&amp;Port_Optimization_365[[#This Row],[POD CODE]]</f>
        <v>https://www.hangyun365.com/Shipping?pol_code=CNTXG&amp;pod_code=GBFXT</v>
      </c>
    </row>
    <row r="284" spans="1:5" x14ac:dyDescent="0.3">
      <c r="A284" s="1" t="s">
        <v>1493</v>
      </c>
      <c r="B284" s="1" t="s">
        <v>1400</v>
      </c>
      <c r="C284" s="1" t="str">
        <f t="shared" si="8"/>
        <v>CNTXG</v>
      </c>
      <c r="D284" s="1" t="str">
        <f t="shared" si="9"/>
        <v>NLRTM</v>
      </c>
      <c r="E284" s="1" t="str">
        <f>"https://www.hangyun365.com/Shipping?pol_code="&amp;Port_Optimization_365[[#This Row],[POL CODE]]&amp;"&amp;pod_code="&amp;Port_Optimization_365[[#This Row],[POD CODE]]</f>
        <v>https://www.hangyun365.com/Shipping?pol_code=CNTXG&amp;pod_code=NLRTM</v>
      </c>
    </row>
    <row r="285" spans="1:5" x14ac:dyDescent="0.3">
      <c r="A285" s="1" t="s">
        <v>1493</v>
      </c>
      <c r="B285" s="1" t="s">
        <v>1401</v>
      </c>
      <c r="C285" s="1" t="str">
        <f t="shared" si="8"/>
        <v>CNTXG</v>
      </c>
      <c r="D285" s="1" t="str">
        <f t="shared" si="9"/>
        <v>TRIST</v>
      </c>
      <c r="E285" s="1" t="str">
        <f>"https://www.hangyun365.com/Shipping?pol_code="&amp;Port_Optimization_365[[#This Row],[POL CODE]]&amp;"&amp;pod_code="&amp;Port_Optimization_365[[#This Row],[POD CODE]]</f>
        <v>https://www.hangyun365.com/Shipping?pol_code=CNTXG&amp;pod_code=TRIST</v>
      </c>
    </row>
    <row r="286" spans="1:5" x14ac:dyDescent="0.3">
      <c r="A286" s="1" t="s">
        <v>1493</v>
      </c>
      <c r="B286" s="1" t="s">
        <v>1449</v>
      </c>
      <c r="C286" s="1" t="str">
        <f t="shared" si="8"/>
        <v>CNTXG</v>
      </c>
      <c r="D286" s="1" t="str">
        <f t="shared" si="9"/>
        <v>RUNVS</v>
      </c>
      <c r="E286" s="1" t="str">
        <f>"https://www.hangyun365.com/Shipping?pol_code="&amp;Port_Optimization_365[[#This Row],[POL CODE]]&amp;"&amp;pod_code="&amp;Port_Optimization_365[[#This Row],[POD CODE]]</f>
        <v>https://www.hangyun365.com/Shipping?pol_code=CNTXG&amp;pod_code=RUNVS</v>
      </c>
    </row>
    <row r="287" spans="1:5" x14ac:dyDescent="0.3">
      <c r="A287" s="1" t="s">
        <v>1493</v>
      </c>
      <c r="B287" s="1" t="s">
        <v>1402</v>
      </c>
      <c r="C287" s="1" t="str">
        <f t="shared" si="8"/>
        <v>CNTXG</v>
      </c>
      <c r="D287" s="1" t="str">
        <f t="shared" si="9"/>
        <v>INNSA</v>
      </c>
      <c r="E287" s="1" t="str">
        <f>"https://www.hangyun365.com/Shipping?pol_code="&amp;Port_Optimization_365[[#This Row],[POL CODE]]&amp;"&amp;pod_code="&amp;Port_Optimization_365[[#This Row],[POD CODE]]</f>
        <v>https://www.hangyun365.com/Shipping?pol_code=CNTXG&amp;pod_code=INNSA</v>
      </c>
    </row>
    <row r="288" spans="1:5" x14ac:dyDescent="0.3">
      <c r="A288" s="1" t="s">
        <v>1493</v>
      </c>
      <c r="B288" s="1" t="s">
        <v>1450</v>
      </c>
      <c r="C288" s="1" t="str">
        <f t="shared" si="8"/>
        <v>CNTXG</v>
      </c>
      <c r="D288" s="1" t="str">
        <f t="shared" si="9"/>
        <v>INMAA</v>
      </c>
      <c r="E288" s="1" t="str">
        <f>"https://www.hangyun365.com/Shipping?pol_code="&amp;Port_Optimization_365[[#This Row],[POL CODE]]&amp;"&amp;pod_code="&amp;Port_Optimization_365[[#This Row],[POD CODE]]</f>
        <v>https://www.hangyun365.com/Shipping?pol_code=CNTXG&amp;pod_code=INMAA</v>
      </c>
    </row>
    <row r="289" spans="1:5" x14ac:dyDescent="0.3">
      <c r="A289" s="1" t="s">
        <v>1493</v>
      </c>
      <c r="B289" s="1" t="s">
        <v>1403</v>
      </c>
      <c r="C289" s="1" t="str">
        <f t="shared" si="8"/>
        <v>CNTXG</v>
      </c>
      <c r="D289" s="1" t="str">
        <f t="shared" si="9"/>
        <v>AEJEA</v>
      </c>
      <c r="E289" s="1" t="str">
        <f>"https://www.hangyun365.com/Shipping?pol_code="&amp;Port_Optimization_365[[#This Row],[POL CODE]]&amp;"&amp;pod_code="&amp;Port_Optimization_365[[#This Row],[POD CODE]]</f>
        <v>https://www.hangyun365.com/Shipping?pol_code=CNTXG&amp;pod_code=AEJEA</v>
      </c>
    </row>
    <row r="290" spans="1:5" x14ac:dyDescent="0.3">
      <c r="A290" s="1" t="s">
        <v>1493</v>
      </c>
      <c r="B290" s="1" t="s">
        <v>1461</v>
      </c>
      <c r="C290" s="1" t="str">
        <f t="shared" si="8"/>
        <v>CNTXG</v>
      </c>
      <c r="D290" s="1" t="str">
        <f t="shared" si="9"/>
        <v>GHTEM</v>
      </c>
      <c r="E290" s="1" t="str">
        <f>"https://www.hangyun365.com/Shipping?pol_code="&amp;Port_Optimization_365[[#This Row],[POL CODE]]&amp;"&amp;pod_code="&amp;Port_Optimization_365[[#This Row],[POD CODE]]</f>
        <v>https://www.hangyun365.com/Shipping?pol_code=CNTXG&amp;pod_code=GHTEM</v>
      </c>
    </row>
    <row r="291" spans="1:5" x14ac:dyDescent="0.3">
      <c r="A291" s="1" t="s">
        <v>1493</v>
      </c>
      <c r="B291" s="1" t="s">
        <v>1463</v>
      </c>
      <c r="C291" s="1" t="str">
        <f t="shared" si="8"/>
        <v>CNTXG</v>
      </c>
      <c r="D291" s="1" t="str">
        <f t="shared" si="9"/>
        <v>COBUN</v>
      </c>
      <c r="E291" s="1" t="str">
        <f>"https://www.hangyun365.com/Shipping?pol_code="&amp;Port_Optimization_365[[#This Row],[POL CODE]]&amp;"&amp;pod_code="&amp;Port_Optimization_365[[#This Row],[POD CODE]]</f>
        <v>https://www.hangyun365.com/Shipping?pol_code=CNTXG&amp;pod_code=COBUN</v>
      </c>
    </row>
    <row r="292" spans="1:5" x14ac:dyDescent="0.3">
      <c r="A292" s="1" t="s">
        <v>1493</v>
      </c>
      <c r="B292" s="1" t="s">
        <v>1465</v>
      </c>
      <c r="C292" s="1" t="str">
        <f t="shared" si="8"/>
        <v>CNTXG</v>
      </c>
      <c r="D292" s="1" t="str">
        <f t="shared" si="9"/>
        <v>BRSSZ</v>
      </c>
      <c r="E292" s="1" t="str">
        <f>"https://www.hangyun365.com/Shipping?pol_code="&amp;Port_Optimization_365[[#This Row],[POL CODE]]&amp;"&amp;pod_code="&amp;Port_Optimization_365[[#This Row],[POD CODE]]</f>
        <v>https://www.hangyun365.com/Shipping?pol_code=CNTXG&amp;pod_code=BRSSZ</v>
      </c>
    </row>
    <row r="293" spans="1:5" x14ac:dyDescent="0.3">
      <c r="A293" s="1" t="s">
        <v>1493</v>
      </c>
      <c r="B293" s="1" t="s">
        <v>1492</v>
      </c>
      <c r="C293" s="1" t="str">
        <f t="shared" si="8"/>
        <v>CNTXG</v>
      </c>
      <c r="D293" s="1" t="str">
        <f t="shared" si="9"/>
        <v>AUPHE</v>
      </c>
      <c r="E293" s="1" t="str">
        <f>"https://www.hangyun365.com/Shipping?pol_code="&amp;Port_Optimization_365[[#This Row],[POL CODE]]&amp;"&amp;pod_code="&amp;Port_Optimization_365[[#This Row],[POD CODE]]</f>
        <v>https://www.hangyun365.com/Shipping?pol_code=CNTXG&amp;pod_code=AUPHE</v>
      </c>
    </row>
    <row r="294" spans="1:5" x14ac:dyDescent="0.3">
      <c r="A294" s="1" t="s">
        <v>1493</v>
      </c>
      <c r="B294" s="1" t="s">
        <v>1467</v>
      </c>
      <c r="C294" s="1" t="str">
        <f t="shared" si="8"/>
        <v>CNTXG</v>
      </c>
      <c r="D294" s="1" t="str">
        <f t="shared" si="9"/>
        <v>AUBNE</v>
      </c>
      <c r="E294" s="1" t="str">
        <f>"https://www.hangyun365.com/Shipping?pol_code="&amp;Port_Optimization_365[[#This Row],[POL CODE]]&amp;"&amp;pod_code="&amp;Port_Optimization_365[[#This Row],[POD CODE]]</f>
        <v>https://www.hangyun365.com/Shipping?pol_code=CNTXG&amp;pod_code=AUBNE</v>
      </c>
    </row>
    <row r="295" spans="1:5" x14ac:dyDescent="0.3">
      <c r="A295" s="1" t="s">
        <v>1493</v>
      </c>
      <c r="B295" s="1" t="s">
        <v>1478</v>
      </c>
      <c r="C295" s="1" t="str">
        <f t="shared" si="8"/>
        <v>CNTXG</v>
      </c>
      <c r="D295" s="1" t="str">
        <f t="shared" si="9"/>
        <v>VUVLI</v>
      </c>
      <c r="E295" s="1" t="str">
        <f>"https://www.hangyun365.com/Shipping?pol_code="&amp;Port_Optimization_365[[#This Row],[POL CODE]]&amp;"&amp;pod_code="&amp;Port_Optimization_365[[#This Row],[POD CODE]]</f>
        <v>https://www.hangyun365.com/Shipping?pol_code=CNTXG&amp;pod_code=VUVLI</v>
      </c>
    </row>
    <row r="296" spans="1:5" x14ac:dyDescent="0.3">
      <c r="A296" s="1" t="s">
        <v>1493</v>
      </c>
      <c r="B296" s="1" t="s">
        <v>1405</v>
      </c>
      <c r="C296" s="1" t="str">
        <f t="shared" si="8"/>
        <v>CNTXG</v>
      </c>
      <c r="D296" s="1" t="str">
        <f t="shared" si="9"/>
        <v>PHMNL</v>
      </c>
      <c r="E296" s="1" t="str">
        <f>"https://www.hangyun365.com/Shipping?pol_code="&amp;Port_Optimization_365[[#This Row],[POL CODE]]&amp;"&amp;pod_code="&amp;Port_Optimization_365[[#This Row],[POD CODE]]</f>
        <v>https://www.hangyun365.com/Shipping?pol_code=CNTXG&amp;pod_code=PHMNL</v>
      </c>
    </row>
    <row r="297" spans="1:5" x14ac:dyDescent="0.3">
      <c r="A297" s="1" t="s">
        <v>1493</v>
      </c>
      <c r="B297" s="1" t="s">
        <v>1404</v>
      </c>
      <c r="C297" s="1" t="str">
        <f t="shared" si="8"/>
        <v>CNTXG</v>
      </c>
      <c r="D297" s="1" t="str">
        <f t="shared" si="9"/>
        <v>VNSGN</v>
      </c>
      <c r="E297" s="1" t="str">
        <f>"https://www.hangyun365.com/Shipping?pol_code="&amp;Port_Optimization_365[[#This Row],[POL CODE]]&amp;"&amp;pod_code="&amp;Port_Optimization_365[[#This Row],[POD CODE]]</f>
        <v>https://www.hangyun365.com/Shipping?pol_code=CNTXG&amp;pod_code=VNSGN</v>
      </c>
    </row>
    <row r="298" spans="1:5" x14ac:dyDescent="0.3">
      <c r="A298" s="1" t="s">
        <v>1493</v>
      </c>
      <c r="B298" s="1" t="s">
        <v>1406</v>
      </c>
      <c r="C298" s="1" t="str">
        <f t="shared" si="8"/>
        <v>CNTXG</v>
      </c>
      <c r="D298" s="1" t="str">
        <f t="shared" si="9"/>
        <v>IDJKT</v>
      </c>
      <c r="E298" s="1" t="str">
        <f>"https://www.hangyun365.com/Shipping?pol_code="&amp;Port_Optimization_365[[#This Row],[POL CODE]]&amp;"&amp;pod_code="&amp;Port_Optimization_365[[#This Row],[POD CODE]]</f>
        <v>https://www.hangyun365.com/Shipping?pol_code=CNTXG&amp;pod_code=IDJKT</v>
      </c>
    </row>
    <row r="299" spans="1:5" x14ac:dyDescent="0.3">
      <c r="A299" s="1" t="s">
        <v>1493</v>
      </c>
      <c r="B299" s="1" t="s">
        <v>1407</v>
      </c>
      <c r="C299" s="1" t="str">
        <f t="shared" si="8"/>
        <v>CNTXG</v>
      </c>
      <c r="D299" s="1" t="str">
        <f t="shared" si="9"/>
        <v>VNHPH</v>
      </c>
      <c r="E299" s="1" t="str">
        <f>"https://www.hangyun365.com/Shipping?pol_code="&amp;Port_Optimization_365[[#This Row],[POL CODE]]&amp;"&amp;pod_code="&amp;Port_Optimization_365[[#This Row],[POD CODE]]</f>
        <v>https://www.hangyun365.com/Shipping?pol_code=CNTXG&amp;pod_code=VNHPH</v>
      </c>
    </row>
    <row r="300" spans="1:5" x14ac:dyDescent="0.3">
      <c r="A300" s="1" t="s">
        <v>1493</v>
      </c>
      <c r="B300" s="1" t="s">
        <v>1409</v>
      </c>
      <c r="C300" s="1" t="str">
        <f t="shared" si="8"/>
        <v>CNTXG</v>
      </c>
      <c r="D300" s="1" t="str">
        <f t="shared" si="9"/>
        <v>MYTPP</v>
      </c>
      <c r="E300" s="1" t="str">
        <f>"https://www.hangyun365.com/Shipping?pol_code="&amp;Port_Optimization_365[[#This Row],[POL CODE]]&amp;"&amp;pod_code="&amp;Port_Optimization_365[[#This Row],[POD CODE]]</f>
        <v>https://www.hangyun365.com/Shipping?pol_code=CNTXG&amp;pod_code=MYTPP</v>
      </c>
    </row>
    <row r="301" spans="1:5" x14ac:dyDescent="0.3">
      <c r="A301" s="1" t="s">
        <v>1493</v>
      </c>
      <c r="B301" s="1" t="s">
        <v>1470</v>
      </c>
      <c r="C301" s="1" t="str">
        <f t="shared" si="8"/>
        <v>CNTXG</v>
      </c>
      <c r="D301" s="1" t="str">
        <f t="shared" si="9"/>
        <v>MYPEN</v>
      </c>
      <c r="E301" s="1" t="str">
        <f>"https://www.hangyun365.com/Shipping?pol_code="&amp;Port_Optimization_365[[#This Row],[POL CODE]]&amp;"&amp;pod_code="&amp;Port_Optimization_365[[#This Row],[POD CODE]]</f>
        <v>https://www.hangyun365.com/Shipping?pol_code=CNTXG&amp;pod_code=MYPEN</v>
      </c>
    </row>
    <row r="302" spans="1:5" x14ac:dyDescent="0.3">
      <c r="A302" s="1" t="s">
        <v>1493</v>
      </c>
      <c r="B302" s="1" t="s">
        <v>1410</v>
      </c>
      <c r="C302" s="1" t="str">
        <f t="shared" si="8"/>
        <v>CNTXG</v>
      </c>
      <c r="D302" s="1" t="str">
        <f t="shared" si="9"/>
        <v>IDSUB</v>
      </c>
      <c r="E302" s="1" t="str">
        <f>"https://www.hangyun365.com/Shipping?pol_code="&amp;Port_Optimization_365[[#This Row],[POL CODE]]&amp;"&amp;pod_code="&amp;Port_Optimization_365[[#This Row],[POD CODE]]</f>
        <v>https://www.hangyun365.com/Shipping?pol_code=CNTXG&amp;pod_code=IDSUB</v>
      </c>
    </row>
    <row r="303" spans="1:5" x14ac:dyDescent="0.3">
      <c r="A303" s="1" t="s">
        <v>1493</v>
      </c>
      <c r="B303" s="1" t="s">
        <v>1408</v>
      </c>
      <c r="C303" s="1" t="str">
        <f t="shared" si="8"/>
        <v>CNTXG</v>
      </c>
      <c r="D303" s="1" t="str">
        <f t="shared" si="9"/>
        <v>THLCH</v>
      </c>
      <c r="E303" s="1" t="str">
        <f>"https://www.hangyun365.com/Shipping?pol_code="&amp;Port_Optimization_365[[#This Row],[POL CODE]]&amp;"&amp;pod_code="&amp;Port_Optimization_365[[#This Row],[POD CODE]]</f>
        <v>https://www.hangyun365.com/Shipping?pol_code=CNTXG&amp;pod_code=THLCH</v>
      </c>
    </row>
    <row r="304" spans="1:5" x14ac:dyDescent="0.3">
      <c r="A304" s="1" t="s">
        <v>1493</v>
      </c>
      <c r="B304" s="1" t="s">
        <v>1411</v>
      </c>
      <c r="C304" s="1" t="str">
        <f t="shared" si="8"/>
        <v>CNTXG</v>
      </c>
      <c r="D304" s="1" t="str">
        <f t="shared" si="9"/>
        <v>SGSIN</v>
      </c>
      <c r="E304" s="1" t="str">
        <f>"https://www.hangyun365.com/Shipping?pol_code="&amp;Port_Optimization_365[[#This Row],[POL CODE]]&amp;"&amp;pod_code="&amp;Port_Optimization_365[[#This Row],[POD CODE]]</f>
        <v>https://www.hangyun365.com/Shipping?pol_code=CNTXG&amp;pod_code=SGSIN</v>
      </c>
    </row>
    <row r="305" spans="1:5" x14ac:dyDescent="0.3">
      <c r="A305" s="1" t="s">
        <v>1493</v>
      </c>
      <c r="B305" s="1" t="s">
        <v>1413</v>
      </c>
      <c r="C305" s="1" t="str">
        <f t="shared" si="8"/>
        <v>CNTXG</v>
      </c>
      <c r="D305" s="1" t="str">
        <f t="shared" si="9"/>
        <v>PHDVO</v>
      </c>
      <c r="E305" s="1" t="str">
        <f>"https://www.hangyun365.com/Shipping?pol_code="&amp;Port_Optimization_365[[#This Row],[POL CODE]]&amp;"&amp;pod_code="&amp;Port_Optimization_365[[#This Row],[POD CODE]]</f>
        <v>https://www.hangyun365.com/Shipping?pol_code=CNTXG&amp;pod_code=PHDVO</v>
      </c>
    </row>
    <row r="306" spans="1:5" x14ac:dyDescent="0.3">
      <c r="A306" s="1" t="s">
        <v>1493</v>
      </c>
      <c r="B306" s="1" t="s">
        <v>1414</v>
      </c>
      <c r="C306" s="1" t="str">
        <f t="shared" si="8"/>
        <v>CNTXG</v>
      </c>
      <c r="D306" s="1" t="str">
        <f t="shared" si="9"/>
        <v>MYPGU</v>
      </c>
      <c r="E306" s="1" t="str">
        <f>"https://www.hangyun365.com/Shipping?pol_code="&amp;Port_Optimization_365[[#This Row],[POL CODE]]&amp;"&amp;pod_code="&amp;Port_Optimization_365[[#This Row],[POD CODE]]</f>
        <v>https://www.hangyun365.com/Shipping?pol_code=CNTXG&amp;pod_code=MYPGU</v>
      </c>
    </row>
    <row r="307" spans="1:5" x14ac:dyDescent="0.3">
      <c r="A307" s="1" t="s">
        <v>1493</v>
      </c>
      <c r="B307" s="1" t="s">
        <v>1415</v>
      </c>
      <c r="C307" s="1" t="str">
        <f t="shared" si="8"/>
        <v>CNTXG</v>
      </c>
      <c r="D307" s="1" t="str">
        <f t="shared" si="9"/>
        <v>MYPKG</v>
      </c>
      <c r="E307" s="1" t="str">
        <f>"https://www.hangyun365.com/Shipping?pol_code="&amp;Port_Optimization_365[[#This Row],[POL CODE]]&amp;"&amp;pod_code="&amp;Port_Optimization_365[[#This Row],[POD CODE]]</f>
        <v>https://www.hangyun365.com/Shipping?pol_code=CNTXG&amp;pod_code=MYPKG</v>
      </c>
    </row>
    <row r="308" spans="1:5" x14ac:dyDescent="0.3">
      <c r="A308" s="1" t="s">
        <v>1493</v>
      </c>
      <c r="B308" s="1" t="s">
        <v>1416</v>
      </c>
      <c r="C308" s="1" t="str">
        <f t="shared" si="8"/>
        <v>CNTXG</v>
      </c>
      <c r="D308" s="1" t="str">
        <f t="shared" si="9"/>
        <v>HKHKG</v>
      </c>
      <c r="E308" s="1" t="str">
        <f>"https://www.hangyun365.com/Shipping?pol_code="&amp;Port_Optimization_365[[#This Row],[POL CODE]]&amp;"&amp;pod_code="&amp;Port_Optimization_365[[#This Row],[POD CODE]]</f>
        <v>https://www.hangyun365.com/Shipping?pol_code=CNTXG&amp;pod_code=HKHKG</v>
      </c>
    </row>
    <row r="309" spans="1:5" x14ac:dyDescent="0.3">
      <c r="A309" s="1" t="s">
        <v>1493</v>
      </c>
      <c r="B309" s="1" t="s">
        <v>1428</v>
      </c>
      <c r="C309" s="1" t="str">
        <f t="shared" si="8"/>
        <v>CNTXG</v>
      </c>
      <c r="D309" s="1" t="str">
        <f t="shared" si="9"/>
        <v>RUVYP</v>
      </c>
      <c r="E309" s="1" t="str">
        <f>"https://www.hangyun365.com/Shipping?pol_code="&amp;Port_Optimization_365[[#This Row],[POL CODE]]&amp;"&amp;pod_code="&amp;Port_Optimization_365[[#This Row],[POD CODE]]</f>
        <v>https://www.hangyun365.com/Shipping?pol_code=CNTXG&amp;pod_code=RUVYP</v>
      </c>
    </row>
    <row r="310" spans="1:5" x14ac:dyDescent="0.3">
      <c r="A310" s="1" t="s">
        <v>1493</v>
      </c>
      <c r="B310" s="1" t="s">
        <v>1417</v>
      </c>
      <c r="C310" s="1" t="str">
        <f t="shared" si="8"/>
        <v>CNTXG</v>
      </c>
      <c r="D310" s="1" t="str">
        <f t="shared" si="9"/>
        <v>KRPUS</v>
      </c>
      <c r="E310" s="1" t="str">
        <f>"https://www.hangyun365.com/Shipping?pol_code="&amp;Port_Optimization_365[[#This Row],[POL CODE]]&amp;"&amp;pod_code="&amp;Port_Optimization_365[[#This Row],[POD CODE]]</f>
        <v>https://www.hangyun365.com/Shipping?pol_code=CNTXG&amp;pod_code=KRPUS</v>
      </c>
    </row>
    <row r="311" spans="1:5" x14ac:dyDescent="0.3">
      <c r="A311" s="1" t="s">
        <v>1493</v>
      </c>
      <c r="B311" s="1" t="s">
        <v>1474</v>
      </c>
      <c r="C311" s="1" t="str">
        <f t="shared" si="8"/>
        <v>CNTXG</v>
      </c>
      <c r="D311" s="1" t="str">
        <f t="shared" si="9"/>
        <v>JPNGO</v>
      </c>
      <c r="E311" s="1" t="str">
        <f>"https://www.hangyun365.com/Shipping?pol_code="&amp;Port_Optimization_365[[#This Row],[POL CODE]]&amp;"&amp;pod_code="&amp;Port_Optimization_365[[#This Row],[POD CODE]]</f>
        <v>https://www.hangyun365.com/Shipping?pol_code=CNTXG&amp;pod_code=JPNGO</v>
      </c>
    </row>
    <row r="312" spans="1:5" x14ac:dyDescent="0.3">
      <c r="A312" s="1" t="s">
        <v>1493</v>
      </c>
      <c r="B312" s="1" t="s">
        <v>1421</v>
      </c>
      <c r="C312" s="1" t="str">
        <f t="shared" si="8"/>
        <v>CNTXG</v>
      </c>
      <c r="D312" s="1" t="str">
        <f t="shared" si="9"/>
        <v>TWKHH</v>
      </c>
      <c r="E312" s="1" t="str">
        <f>"https://www.hangyun365.com/Shipping?pol_code="&amp;Port_Optimization_365[[#This Row],[POL CODE]]&amp;"&amp;pod_code="&amp;Port_Optimization_365[[#This Row],[POD CODE]]</f>
        <v>https://www.hangyun365.com/Shipping?pol_code=CNTXG&amp;pod_code=TWKHH</v>
      </c>
    </row>
    <row r="313" spans="1:5" x14ac:dyDescent="0.3">
      <c r="A313" s="1" t="s">
        <v>1493</v>
      </c>
      <c r="B313" s="1" t="s">
        <v>1424</v>
      </c>
      <c r="C313" s="1" t="str">
        <f t="shared" si="8"/>
        <v>CNTXG</v>
      </c>
      <c r="D313" s="1" t="str">
        <f t="shared" si="9"/>
        <v>RUVVO</v>
      </c>
      <c r="E313" s="1" t="str">
        <f>"https://www.hangyun365.com/Shipping?pol_code="&amp;Port_Optimization_365[[#This Row],[POL CODE]]&amp;"&amp;pod_code="&amp;Port_Optimization_365[[#This Row],[POD CODE]]</f>
        <v>https://www.hangyun365.com/Shipping?pol_code=CNTXG&amp;pod_code=RUVVO</v>
      </c>
    </row>
    <row r="314" spans="1:5" x14ac:dyDescent="0.3">
      <c r="A314" s="1" t="s">
        <v>1493</v>
      </c>
      <c r="B314" s="1" t="s">
        <v>1420</v>
      </c>
      <c r="C314" s="1" t="str">
        <f t="shared" si="8"/>
        <v>CNTXG</v>
      </c>
      <c r="D314" s="1" t="str">
        <f t="shared" si="9"/>
        <v>KRBNP</v>
      </c>
      <c r="E314" s="1" t="str">
        <f>"https://www.hangyun365.com/Shipping?pol_code="&amp;Port_Optimization_365[[#This Row],[POL CODE]]&amp;"&amp;pod_code="&amp;Port_Optimization_365[[#This Row],[POD CODE]]</f>
        <v>https://www.hangyun365.com/Shipping?pol_code=CNTXG&amp;pod_code=KRBNP</v>
      </c>
    </row>
    <row r="315" spans="1:5" x14ac:dyDescent="0.3">
      <c r="A315" s="1" t="s">
        <v>1493</v>
      </c>
      <c r="B315" s="1" t="s">
        <v>1419</v>
      </c>
      <c r="C315" s="1" t="str">
        <f t="shared" si="8"/>
        <v>CNTXG</v>
      </c>
      <c r="D315" s="1" t="str">
        <f t="shared" si="9"/>
        <v>JPHTD</v>
      </c>
      <c r="E315" s="1" t="str">
        <f>"https://www.hangyun365.com/Shipping?pol_code="&amp;Port_Optimization_365[[#This Row],[POL CODE]]&amp;"&amp;pod_code="&amp;Port_Optimization_365[[#This Row],[POD CODE]]</f>
        <v>https://www.hangyun365.com/Shipping?pol_code=CNTXG&amp;pod_code=JPHTD</v>
      </c>
    </row>
    <row r="316" spans="1:5" x14ac:dyDescent="0.3">
      <c r="A316" s="1" t="s">
        <v>1493</v>
      </c>
      <c r="B316" s="1" t="s">
        <v>1422</v>
      </c>
      <c r="C316" s="1" t="str">
        <f t="shared" si="8"/>
        <v>CNTXG</v>
      </c>
      <c r="D316" s="1" t="str">
        <f t="shared" si="9"/>
        <v>JPSBS</v>
      </c>
      <c r="E316" s="1" t="str">
        <f>"https://www.hangyun365.com/Shipping?pol_code="&amp;Port_Optimization_365[[#This Row],[POL CODE]]&amp;"&amp;pod_code="&amp;Port_Optimization_365[[#This Row],[POD CODE]]</f>
        <v>https://www.hangyun365.com/Shipping?pol_code=CNTXG&amp;pod_code=JPSBS</v>
      </c>
    </row>
    <row r="317" spans="1:5" x14ac:dyDescent="0.3">
      <c r="A317" s="1" t="s">
        <v>1493</v>
      </c>
      <c r="B317" s="1" t="s">
        <v>1432</v>
      </c>
      <c r="C317" s="1" t="str">
        <f t="shared" si="8"/>
        <v>CNTXG</v>
      </c>
      <c r="D317" s="1" t="str">
        <f t="shared" si="9"/>
        <v>KRKWA</v>
      </c>
      <c r="E317" s="1" t="str">
        <f>"https://www.hangyun365.com/Shipping?pol_code="&amp;Port_Optimization_365[[#This Row],[POL CODE]]&amp;"&amp;pod_code="&amp;Port_Optimization_365[[#This Row],[POD CODE]]</f>
        <v>https://www.hangyun365.com/Shipping?pol_code=CNTXG&amp;pod_code=KRKWA</v>
      </c>
    </row>
    <row r="318" spans="1:5" x14ac:dyDescent="0.3">
      <c r="A318" s="1" t="s">
        <v>1493</v>
      </c>
      <c r="B318" s="1" t="s">
        <v>1426</v>
      </c>
      <c r="C318" s="1" t="str">
        <f t="shared" si="8"/>
        <v>CNTXG</v>
      </c>
      <c r="D318" s="1" t="str">
        <f t="shared" si="9"/>
        <v>JPOSA</v>
      </c>
      <c r="E318" s="1" t="str">
        <f>"https://www.hangyun365.com/Shipping?pol_code="&amp;Port_Optimization_365[[#This Row],[POL CODE]]&amp;"&amp;pod_code="&amp;Port_Optimization_365[[#This Row],[POD CODE]]</f>
        <v>https://www.hangyun365.com/Shipping?pol_code=CNTXG&amp;pod_code=JPOSA</v>
      </c>
    </row>
    <row r="319" spans="1:5" x14ac:dyDescent="0.3">
      <c r="A319" s="1" t="s">
        <v>1493</v>
      </c>
      <c r="B319" s="1" t="s">
        <v>1425</v>
      </c>
      <c r="C319" s="1" t="str">
        <f t="shared" si="8"/>
        <v>CNTXG</v>
      </c>
      <c r="D319" s="1" t="str">
        <f t="shared" si="9"/>
        <v>JPIMI</v>
      </c>
      <c r="E319" s="1" t="str">
        <f>"https://www.hangyun365.com/Shipping?pol_code="&amp;Port_Optimization_365[[#This Row],[POL CODE]]&amp;"&amp;pod_code="&amp;Port_Optimization_365[[#This Row],[POD CODE]]</f>
        <v>https://www.hangyun365.com/Shipping?pol_code=CNTXG&amp;pod_code=JPIMI</v>
      </c>
    </row>
    <row r="320" spans="1:5" x14ac:dyDescent="0.3">
      <c r="A320" s="1" t="s">
        <v>1493</v>
      </c>
      <c r="B320" s="1" t="s">
        <v>1427</v>
      </c>
      <c r="C320" s="1" t="str">
        <f t="shared" si="8"/>
        <v>CNTXG</v>
      </c>
      <c r="D320" s="1" t="str">
        <f t="shared" si="9"/>
        <v>KRPTK</v>
      </c>
      <c r="E320" s="1" t="str">
        <f>"https://www.hangyun365.com/Shipping?pol_code="&amp;Port_Optimization_365[[#This Row],[POL CODE]]&amp;"&amp;pod_code="&amp;Port_Optimization_365[[#This Row],[POD CODE]]</f>
        <v>https://www.hangyun365.com/Shipping?pol_code=CNTXG&amp;pod_code=KRPTK</v>
      </c>
    </row>
    <row r="322" spans="1:5" x14ac:dyDescent="0.3">
      <c r="A322" s="1" t="s">
        <v>1508</v>
      </c>
      <c r="B322" s="1" t="s">
        <v>1509</v>
      </c>
      <c r="C322" s="1" t="str">
        <f>_xlfn.TEXTBEFORE(_xlfn.TEXTAFTER(A322,"|"),"|")</f>
        <v>CNDLC</v>
      </c>
      <c r="D322" s="1" t="str">
        <f>_xlfn.TEXTBEFORE(_xlfn.TEXTAFTER(B322,"|"),"|")</f>
        <v>VNDNA</v>
      </c>
      <c r="E322" s="1" t="str">
        <f>"https://www.hangyun365.com/Shipping?pol_code="&amp;C322&amp;"&amp;pod_code="&amp;D322</f>
        <v>https://www.hangyun365.com/Shipping?pol_code=CNDLC&amp;pod_code=VNDNA</v>
      </c>
    </row>
    <row r="323" spans="1:5" x14ac:dyDescent="0.3">
      <c r="A323" s="1" t="s">
        <v>1510</v>
      </c>
      <c r="B323" s="1" t="s">
        <v>1509</v>
      </c>
      <c r="C323" s="1" t="str">
        <f t="shared" ref="C323:C324" si="10">_xlfn.TEXTBEFORE(_xlfn.TEXTAFTER(A323,"|"),"|")</f>
        <v>CNTXG</v>
      </c>
      <c r="D323" s="1" t="str">
        <f t="shared" ref="D323:D324" si="11">_xlfn.TEXTBEFORE(_xlfn.TEXTAFTER(B323,"|"),"|")</f>
        <v>VNDNA</v>
      </c>
      <c r="E323" s="1" t="str">
        <f t="shared" ref="E323:E324" si="12">"https://www.hangyun365.com/Shipping?pol_code="&amp;C323&amp;"&amp;pod_code="&amp;D323</f>
        <v>https://www.hangyun365.com/Shipping?pol_code=CNTXG&amp;pod_code=VNDNA</v>
      </c>
    </row>
    <row r="324" spans="1:5" x14ac:dyDescent="0.3">
      <c r="A324" s="1" t="s">
        <v>1511</v>
      </c>
      <c r="B324" s="1" t="s">
        <v>1509</v>
      </c>
      <c r="C324" s="1" t="str">
        <f t="shared" si="10"/>
        <v>CNTAO</v>
      </c>
      <c r="D324" s="1" t="str">
        <f t="shared" si="11"/>
        <v>VNDNA</v>
      </c>
      <c r="E324" s="1" t="str">
        <f t="shared" si="12"/>
        <v>https://www.hangyun365.com/Shipping?pol_code=CNTAO&amp;pod_code=VNDNA</v>
      </c>
    </row>
  </sheetData>
  <phoneticPr fontId="1" type="noConversion"/>
  <conditionalFormatting sqref="E1:E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7A24EE-31F6-4031-A2F4-1AB4DD7D77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POL</vt:lpstr>
      <vt:lpstr>POD</vt:lpstr>
      <vt:lpstr>Port Optimization 001</vt:lpstr>
      <vt:lpstr>Port Optimization 365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2025-12-21T14:21:32Z</dcterms:created>
  <dcterms:modified xsi:type="dcterms:W3CDTF">2025-12-22T12:57:27Z</dcterms:modified>
</cp:coreProperties>
</file>